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Project Overview" sheetId="1" state="visible" r:id="rId3"/>
    <sheet name="📊 Raw Sales Data" sheetId="2" state="visible" r:id="rId4"/>
    <sheet name="🎯 Customer Segmentation" sheetId="3" state="visible" r:id="rId5"/>
    <sheet name="📈 Revenue Analysis" sheetId="4" state="visible" r:id="rId6"/>
    <sheet name="💰 Pricing Strategy" sheetId="5" state="visible" r:id="rId7"/>
    <sheet name="🗺️ Regional Analysis" sheetId="6" state="visible" r:id="rId8"/>
    <sheet name="📉 Trend Analysis" sheetId="7" state="visible" r:id="rId9"/>
    <sheet name="📋 Executive 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<sst xmlns="http://schemas.openxmlformats.org/spreadsheetml/2006/main" count="3811" uniqueCount="750">
  <si>
    <t xml:space="preserve">MSME MARKET &amp; SALES ANALYSIS</t>
  </si>
  <si>
    <t xml:space="preserve">Customer Segmentation | Revenue Analysis | Pricing Strategy | Market Insights</t>
  </si>
  <si>
    <t xml:space="preserve">Analyst: Vaibhav Kulshrestha  |  Tool: Advanced Excel  |  Year: 2023  |  Sector: SME / MSME</t>
  </si>
  <si>
    <t xml:space="preserve">PROJECT SUMMARY</t>
  </si>
  <si>
    <t xml:space="preserve">Objective</t>
  </si>
  <si>
    <t xml:space="preserve">Analyze MSME/SME sales data to identify top revenue-generating customer segments, pricing opportunities, and market strategy insights.</t>
  </si>
  <si>
    <t xml:space="preserve">Dataset</t>
  </si>
  <si>
    <t xml:space="preserve">500+ SME customer transactions across 5 regions, 6 product categories, FY 2022–2023</t>
  </si>
  <si>
    <t xml:space="preserve">Key Tools</t>
  </si>
  <si>
    <t xml:space="preserve">Advanced Excel: VLOOKUP, SUMIFS, COUNTIFS, Pivot Tables, IF/IFS, Conditional Formatting, Dynamic Charts</t>
  </si>
  <si>
    <t xml:space="preserve">Key Output</t>
  </si>
  <si>
    <t xml:space="preserve">Identified top 15% revenue-generating segments contributing 62% of total revenue (Pareto Analysis)</t>
  </si>
  <si>
    <t xml:space="preserve">Methodology</t>
  </si>
  <si>
    <t xml:space="preserve">Customer Segmentation → RFM Scoring → Pareto Analysis → Trend Analysis → Pricing Optimization</t>
  </si>
  <si>
    <t xml:space="preserve">Business Impact</t>
  </si>
  <si>
    <t xml:space="preserve">Recommendations delivered for pricing re-alignment, reducing customer churn by targeting high-value segments</t>
  </si>
  <si>
    <t xml:space="preserve">WORKBOOK NAVIGATION</t>
  </si>
  <si>
    <t xml:space="preserve">📊 Raw Sales Data</t>
  </si>
  <si>
    <t xml:space="preserve">500 customer transaction records — source data for all analysis</t>
  </si>
  <si>
    <t xml:space="preserve">🎯 Customer Segmentation</t>
  </si>
  <si>
    <t xml:space="preserve">RFM-based segmentation: High / Medium / Low value customers</t>
  </si>
  <si>
    <t xml:space="preserve">📈 Revenue Analysis</t>
  </si>
  <si>
    <t xml:space="preserve">Pareto Analysis — Top 15% segments driving 62% revenue</t>
  </si>
  <si>
    <t xml:space="preserve">💰 Pricing Strategy</t>
  </si>
  <si>
    <t xml:space="preserve">Price band analysis, discount impact, margin optimization</t>
  </si>
  <si>
    <t xml:space="preserve">🗺️ Regional Analysis</t>
  </si>
  <si>
    <t xml:space="preserve">5-region breakdown: North, South, East, West, Central</t>
  </si>
  <si>
    <t xml:space="preserve">📉 Trend Analysis</t>
  </si>
  <si>
    <t xml:space="preserve">Monthly &amp; quarterly sales trends FY2022–FY2023</t>
  </si>
  <si>
    <t xml:space="preserve">📋 Executive Dashboard</t>
  </si>
  <si>
    <t xml:space="preserve">KPI summary, charts, and strategic recommendations</t>
  </si>
  <si>
    <t xml:space="preserve">Cust_ID</t>
  </si>
  <si>
    <t xml:space="preserve">Customer Name</t>
  </si>
  <si>
    <t xml:space="preserve">Region</t>
  </si>
  <si>
    <t xml:space="preserve">Category</t>
  </si>
  <si>
    <t xml:space="preserve">Product</t>
  </si>
  <si>
    <t xml:space="preserve">Units Sold</t>
  </si>
  <si>
    <t xml:space="preserve">Unit Price (₹)</t>
  </si>
  <si>
    <t xml:space="preserve">Revenue (₹)</t>
  </si>
  <si>
    <t xml:space="preserve">Discount %</t>
  </si>
  <si>
    <t xml:space="preserve">Net Revenue (₹)</t>
  </si>
  <si>
    <t xml:space="preserve">Month</t>
  </si>
  <si>
    <t xml:space="preserve">Quarter</t>
  </si>
  <si>
    <t xml:space="preserve">FY</t>
  </si>
  <si>
    <t xml:space="preserve">CUST1001</t>
  </si>
  <si>
    <t xml:space="preserve">Patel Industries</t>
  </si>
  <si>
    <t xml:space="preserve">North</t>
  </si>
  <si>
    <t xml:space="preserve">Auto Parts</t>
  </si>
  <si>
    <t xml:space="preserve">Engine Mount</t>
  </si>
  <si>
    <t xml:space="preserve">Q4</t>
  </si>
  <si>
    <t xml:space="preserve">FY2022</t>
  </si>
  <si>
    <t xml:space="preserve">CUST1002</t>
  </si>
  <si>
    <t xml:space="preserve">Reddy Exports</t>
  </si>
  <si>
    <t xml:space="preserve">Chemicals</t>
  </si>
  <si>
    <t xml:space="preserve">Adhesive</t>
  </si>
  <si>
    <t xml:space="preserve">Q2</t>
  </si>
  <si>
    <t xml:space="preserve">CUST1003</t>
  </si>
  <si>
    <t xml:space="preserve">Pandey Bros</t>
  </si>
  <si>
    <t xml:space="preserve">Central</t>
  </si>
  <si>
    <t xml:space="preserve">Electronics</t>
  </si>
  <si>
    <t xml:space="preserve">PLC Controller</t>
  </si>
  <si>
    <t xml:space="preserve">FY2023</t>
  </si>
  <si>
    <t xml:space="preserve">CUST1004</t>
  </si>
  <si>
    <t xml:space="preserve">Verma Co</t>
  </si>
  <si>
    <t xml:space="preserve">Textiles</t>
  </si>
  <si>
    <t xml:space="preserve">Denim Roll</t>
  </si>
  <si>
    <t xml:space="preserve">Q1</t>
  </si>
  <si>
    <t xml:space="preserve">CUST1005</t>
  </si>
  <si>
    <t xml:space="preserve">Agarwal Mfg</t>
  </si>
  <si>
    <t xml:space="preserve">Motor Drive</t>
  </si>
  <si>
    <t xml:space="preserve">CUST1006</t>
  </si>
  <si>
    <t xml:space="preserve">Gupta Enterprises</t>
  </si>
  <si>
    <t xml:space="preserve">West</t>
  </si>
  <si>
    <t xml:space="preserve">Industrial Solvent</t>
  </si>
  <si>
    <t xml:space="preserve">Q3</t>
  </si>
  <si>
    <t xml:space="preserve">CUST1007</t>
  </si>
  <si>
    <t xml:space="preserve">Bose Traders</t>
  </si>
  <si>
    <t xml:space="preserve">CUST1008</t>
  </si>
  <si>
    <t xml:space="preserve">Mehta &amp; Sons</t>
  </si>
  <si>
    <t xml:space="preserve">South</t>
  </si>
  <si>
    <t xml:space="preserve">CUST1009</t>
  </si>
  <si>
    <t xml:space="preserve">East</t>
  </si>
  <si>
    <t xml:space="preserve">CUST1010</t>
  </si>
  <si>
    <t xml:space="preserve">Synthetic Yarn</t>
  </si>
  <si>
    <t xml:space="preserve">CUST1011</t>
  </si>
  <si>
    <t xml:space="preserve">Cotton Fabric</t>
  </si>
  <si>
    <t xml:space="preserve">CUST1012</t>
  </si>
  <si>
    <t xml:space="preserve">Joshi SME</t>
  </si>
  <si>
    <t xml:space="preserve">CUST1013</t>
  </si>
  <si>
    <t xml:space="preserve">Singh Associates</t>
  </si>
  <si>
    <t xml:space="preserve">CUST1014</t>
  </si>
  <si>
    <t xml:space="preserve">Chopra Group</t>
  </si>
  <si>
    <t xml:space="preserve">CUST1015</t>
  </si>
  <si>
    <t xml:space="preserve">CUST1016</t>
  </si>
  <si>
    <t xml:space="preserve">CUST1017</t>
  </si>
  <si>
    <t xml:space="preserve">Food &amp; Bev</t>
  </si>
  <si>
    <t xml:space="preserve">Beverage Conc.</t>
  </si>
  <si>
    <t xml:space="preserve">CUST1018</t>
  </si>
  <si>
    <t xml:space="preserve">CUST1019</t>
  </si>
  <si>
    <t xml:space="preserve">CUST1020</t>
  </si>
  <si>
    <t xml:space="preserve">Malhotra Ltd</t>
  </si>
  <si>
    <t xml:space="preserve">CUST1021</t>
  </si>
  <si>
    <t xml:space="preserve">CUST1022</t>
  </si>
  <si>
    <t xml:space="preserve">CUST1023</t>
  </si>
  <si>
    <t xml:space="preserve">Gear Set</t>
  </si>
  <si>
    <t xml:space="preserve">CUST1024</t>
  </si>
  <si>
    <t xml:space="preserve">Khanna Works</t>
  </si>
  <si>
    <t xml:space="preserve">Machinery</t>
  </si>
  <si>
    <t xml:space="preserve">Pump Unit</t>
  </si>
  <si>
    <t xml:space="preserve">CUST1025</t>
  </si>
  <si>
    <t xml:space="preserve">CUST1026</t>
  </si>
  <si>
    <t xml:space="preserve">Rao Pvt Ltd</t>
  </si>
  <si>
    <t xml:space="preserve">CUST1027</t>
  </si>
  <si>
    <t xml:space="preserve">CUST1028</t>
  </si>
  <si>
    <t xml:space="preserve">CUST1029</t>
  </si>
  <si>
    <t xml:space="preserve">CUST1030</t>
  </si>
  <si>
    <t xml:space="preserve">CUST1031</t>
  </si>
  <si>
    <t xml:space="preserve">Conveyor Belt</t>
  </si>
  <si>
    <t xml:space="preserve">CUST1032</t>
  </si>
  <si>
    <t xml:space="preserve">CUST1033</t>
  </si>
  <si>
    <t xml:space="preserve">Kumar Corp</t>
  </si>
  <si>
    <t xml:space="preserve">CUST1034</t>
  </si>
  <si>
    <t xml:space="preserve">Packaged Snacks</t>
  </si>
  <si>
    <t xml:space="preserve">CUST1035</t>
  </si>
  <si>
    <t xml:space="preserve">CUST1036</t>
  </si>
  <si>
    <t xml:space="preserve">CUST1037</t>
  </si>
  <si>
    <t xml:space="preserve">CUST1038</t>
  </si>
  <si>
    <t xml:space="preserve">CUST1039</t>
  </si>
  <si>
    <t xml:space="preserve">Sharma Traders</t>
  </si>
  <si>
    <t xml:space="preserve">Coating Agent</t>
  </si>
  <si>
    <t xml:space="preserve">CUST1040</t>
  </si>
  <si>
    <t xml:space="preserve">LED Panel</t>
  </si>
  <si>
    <t xml:space="preserve">CUST1041</t>
  </si>
  <si>
    <t xml:space="preserve">CUST1042</t>
  </si>
  <si>
    <t xml:space="preserve">CUST1043</t>
  </si>
  <si>
    <t xml:space="preserve">Compressor</t>
  </si>
  <si>
    <t xml:space="preserve">CUST1044</t>
  </si>
  <si>
    <t xml:space="preserve">CUST1045</t>
  </si>
  <si>
    <t xml:space="preserve">CUST1046</t>
  </si>
  <si>
    <t xml:space="preserve">Dairy Mix</t>
  </si>
  <si>
    <t xml:space="preserve">CUST1047</t>
  </si>
  <si>
    <t xml:space="preserve">Nair Distributors</t>
  </si>
  <si>
    <t xml:space="preserve">CUST1048</t>
  </si>
  <si>
    <t xml:space="preserve">CUST1049</t>
  </si>
  <si>
    <t xml:space="preserve">Desai Solutions</t>
  </si>
  <si>
    <t xml:space="preserve">CUST1050</t>
  </si>
  <si>
    <t xml:space="preserve">Brake Disc</t>
  </si>
  <si>
    <t xml:space="preserve">CUST1051</t>
  </si>
  <si>
    <t xml:space="preserve">CUST1052</t>
  </si>
  <si>
    <t xml:space="preserve">CUST1053</t>
  </si>
  <si>
    <t xml:space="preserve">CUST1054</t>
  </si>
  <si>
    <t xml:space="preserve">CUST1055</t>
  </si>
  <si>
    <t xml:space="preserve">CUST1056</t>
  </si>
  <si>
    <t xml:space="preserve">CUST1057</t>
  </si>
  <si>
    <t xml:space="preserve">CUST1058</t>
  </si>
  <si>
    <t xml:space="preserve">CUST1059</t>
  </si>
  <si>
    <t xml:space="preserve">CUST1060</t>
  </si>
  <si>
    <t xml:space="preserve">CUST1061</t>
  </si>
  <si>
    <t xml:space="preserve">CUST1062</t>
  </si>
  <si>
    <t xml:space="preserve">CUST1063</t>
  </si>
  <si>
    <t xml:space="preserve">CUST1064</t>
  </si>
  <si>
    <t xml:space="preserve">CUST1065</t>
  </si>
  <si>
    <t xml:space="preserve">CUST1066</t>
  </si>
  <si>
    <t xml:space="preserve">CUST1067</t>
  </si>
  <si>
    <t xml:space="preserve">CUST1068</t>
  </si>
  <si>
    <t xml:space="preserve">CUST1069</t>
  </si>
  <si>
    <t xml:space="preserve">CUST1070</t>
  </si>
  <si>
    <t xml:space="preserve">CUST1071</t>
  </si>
  <si>
    <t xml:space="preserve">CUST1072</t>
  </si>
  <si>
    <t xml:space="preserve">CUST1073</t>
  </si>
  <si>
    <t xml:space="preserve">CUST1074</t>
  </si>
  <si>
    <t xml:space="preserve">CUST1075</t>
  </si>
  <si>
    <t xml:space="preserve">CUST1076</t>
  </si>
  <si>
    <t xml:space="preserve">CUST1077</t>
  </si>
  <si>
    <t xml:space="preserve">CUST1078</t>
  </si>
  <si>
    <t xml:space="preserve">CUST1079</t>
  </si>
  <si>
    <t xml:space="preserve">CUST1080</t>
  </si>
  <si>
    <t xml:space="preserve">CUST1081</t>
  </si>
  <si>
    <t xml:space="preserve">CUST1082</t>
  </si>
  <si>
    <t xml:space="preserve">CUST1083</t>
  </si>
  <si>
    <t xml:space="preserve">CUST1084</t>
  </si>
  <si>
    <t xml:space="preserve">CUST1085</t>
  </si>
  <si>
    <t xml:space="preserve">CUST1086</t>
  </si>
  <si>
    <t xml:space="preserve">CUST1087</t>
  </si>
  <si>
    <t xml:space="preserve">CUST1088</t>
  </si>
  <si>
    <t xml:space="preserve">CUST1089</t>
  </si>
  <si>
    <t xml:space="preserve">CUST1090</t>
  </si>
  <si>
    <t xml:space="preserve">CUST1091</t>
  </si>
  <si>
    <t xml:space="preserve">CUST1092</t>
  </si>
  <si>
    <t xml:space="preserve">CUST1093</t>
  </si>
  <si>
    <t xml:space="preserve">CUST1094</t>
  </si>
  <si>
    <t xml:space="preserve">CUST1095</t>
  </si>
  <si>
    <t xml:space="preserve">CUST1096</t>
  </si>
  <si>
    <t xml:space="preserve">CUST1097</t>
  </si>
  <si>
    <t xml:space="preserve">CUST1098</t>
  </si>
  <si>
    <t xml:space="preserve">CUST1099</t>
  </si>
  <si>
    <t xml:space="preserve">CUST1100</t>
  </si>
  <si>
    <t xml:space="preserve">CUST1101</t>
  </si>
  <si>
    <t xml:space="preserve">CUST1102</t>
  </si>
  <si>
    <t xml:space="preserve">CUST1103</t>
  </si>
  <si>
    <t xml:space="preserve">CUST1104</t>
  </si>
  <si>
    <t xml:space="preserve">CUST1105</t>
  </si>
  <si>
    <t xml:space="preserve">CUST1106</t>
  </si>
  <si>
    <t xml:space="preserve">CUST1107</t>
  </si>
  <si>
    <t xml:space="preserve">CUST1108</t>
  </si>
  <si>
    <t xml:space="preserve">CUST1109</t>
  </si>
  <si>
    <t xml:space="preserve">CUST1110</t>
  </si>
  <si>
    <t xml:space="preserve">CUST1111</t>
  </si>
  <si>
    <t xml:space="preserve">CUST1112</t>
  </si>
  <si>
    <t xml:space="preserve">CUST1113</t>
  </si>
  <si>
    <t xml:space="preserve">CUST1114</t>
  </si>
  <si>
    <t xml:space="preserve">CUST1115</t>
  </si>
  <si>
    <t xml:space="preserve">CUST1116</t>
  </si>
  <si>
    <t xml:space="preserve">CUST1117</t>
  </si>
  <si>
    <t xml:space="preserve">CUST1118</t>
  </si>
  <si>
    <t xml:space="preserve">CUST1119</t>
  </si>
  <si>
    <t xml:space="preserve">CUST1120</t>
  </si>
  <si>
    <t xml:space="preserve">CUST1121</t>
  </si>
  <si>
    <t xml:space="preserve">CUST1122</t>
  </si>
  <si>
    <t xml:space="preserve">CUST1123</t>
  </si>
  <si>
    <t xml:space="preserve">CUST1124</t>
  </si>
  <si>
    <t xml:space="preserve">CUST1125</t>
  </si>
  <si>
    <t xml:space="preserve">CUST1126</t>
  </si>
  <si>
    <t xml:space="preserve">CUST1127</t>
  </si>
  <si>
    <t xml:space="preserve">CUST1128</t>
  </si>
  <si>
    <t xml:space="preserve">CUST1129</t>
  </si>
  <si>
    <t xml:space="preserve">CUST1130</t>
  </si>
  <si>
    <t xml:space="preserve">CUST1131</t>
  </si>
  <si>
    <t xml:space="preserve">CUST1132</t>
  </si>
  <si>
    <t xml:space="preserve">CUST1133</t>
  </si>
  <si>
    <t xml:space="preserve">CUST1134</t>
  </si>
  <si>
    <t xml:space="preserve">CUST1135</t>
  </si>
  <si>
    <t xml:space="preserve">CUST1136</t>
  </si>
  <si>
    <t xml:space="preserve">CUST1137</t>
  </si>
  <si>
    <t xml:space="preserve">CUST1138</t>
  </si>
  <si>
    <t xml:space="preserve">CUST1139</t>
  </si>
  <si>
    <t xml:space="preserve">CUST1140</t>
  </si>
  <si>
    <t xml:space="preserve">CUST1141</t>
  </si>
  <si>
    <t xml:space="preserve">CUST1142</t>
  </si>
  <si>
    <t xml:space="preserve">CUST1143</t>
  </si>
  <si>
    <t xml:space="preserve">CUST1144</t>
  </si>
  <si>
    <t xml:space="preserve">CUST1145</t>
  </si>
  <si>
    <t xml:space="preserve">CUST1146</t>
  </si>
  <si>
    <t xml:space="preserve">CUST1147</t>
  </si>
  <si>
    <t xml:space="preserve">CUST1148</t>
  </si>
  <si>
    <t xml:space="preserve">CUST1149</t>
  </si>
  <si>
    <t xml:space="preserve">CUST1150</t>
  </si>
  <si>
    <t xml:space="preserve">CUST1151</t>
  </si>
  <si>
    <t xml:space="preserve">CUST1152</t>
  </si>
  <si>
    <t xml:space="preserve">CUST1153</t>
  </si>
  <si>
    <t xml:space="preserve">CUST1154</t>
  </si>
  <si>
    <t xml:space="preserve">CUST1155</t>
  </si>
  <si>
    <t xml:space="preserve">CUST1156</t>
  </si>
  <si>
    <t xml:space="preserve">CUST1157</t>
  </si>
  <si>
    <t xml:space="preserve">CUST1158</t>
  </si>
  <si>
    <t xml:space="preserve">CUST1159</t>
  </si>
  <si>
    <t xml:space="preserve">CUST1160</t>
  </si>
  <si>
    <t xml:space="preserve">CUST1161</t>
  </si>
  <si>
    <t xml:space="preserve">CUST1162</t>
  </si>
  <si>
    <t xml:space="preserve">CUST1163</t>
  </si>
  <si>
    <t xml:space="preserve">CUST1164</t>
  </si>
  <si>
    <t xml:space="preserve">CUST1165</t>
  </si>
  <si>
    <t xml:space="preserve">CUST1166</t>
  </si>
  <si>
    <t xml:space="preserve">CUST1167</t>
  </si>
  <si>
    <t xml:space="preserve">CUST1168</t>
  </si>
  <si>
    <t xml:space="preserve">CUST1169</t>
  </si>
  <si>
    <t xml:space="preserve">CUST1170</t>
  </si>
  <si>
    <t xml:space="preserve">CUST1171</t>
  </si>
  <si>
    <t xml:space="preserve">CUST1172</t>
  </si>
  <si>
    <t xml:space="preserve">CUST1173</t>
  </si>
  <si>
    <t xml:space="preserve">CUST1174</t>
  </si>
  <si>
    <t xml:space="preserve">CUST1175</t>
  </si>
  <si>
    <t xml:space="preserve">CUST1176</t>
  </si>
  <si>
    <t xml:space="preserve">CUST1177</t>
  </si>
  <si>
    <t xml:space="preserve">CUST1178</t>
  </si>
  <si>
    <t xml:space="preserve">CUST1179</t>
  </si>
  <si>
    <t xml:space="preserve">CUST1180</t>
  </si>
  <si>
    <t xml:space="preserve">CUST1181</t>
  </si>
  <si>
    <t xml:space="preserve">CUST1182</t>
  </si>
  <si>
    <t xml:space="preserve">CUST1183</t>
  </si>
  <si>
    <t xml:space="preserve">CUST1184</t>
  </si>
  <si>
    <t xml:space="preserve">CUST1185</t>
  </si>
  <si>
    <t xml:space="preserve">CUST1186</t>
  </si>
  <si>
    <t xml:space="preserve">CUST1187</t>
  </si>
  <si>
    <t xml:space="preserve">CUST1188</t>
  </si>
  <si>
    <t xml:space="preserve">CUST1189</t>
  </si>
  <si>
    <t xml:space="preserve">CUST1190</t>
  </si>
  <si>
    <t xml:space="preserve">CUST1191</t>
  </si>
  <si>
    <t xml:space="preserve">CUST1192</t>
  </si>
  <si>
    <t xml:space="preserve">CUST1193</t>
  </si>
  <si>
    <t xml:space="preserve">CUST1194</t>
  </si>
  <si>
    <t xml:space="preserve">CUST1195</t>
  </si>
  <si>
    <t xml:space="preserve">CUST1196</t>
  </si>
  <si>
    <t xml:space="preserve">CUST1197</t>
  </si>
  <si>
    <t xml:space="preserve">CUST1198</t>
  </si>
  <si>
    <t xml:space="preserve">CUST1199</t>
  </si>
  <si>
    <t xml:space="preserve">CUST1200</t>
  </si>
  <si>
    <t xml:space="preserve">CUST1201</t>
  </si>
  <si>
    <t xml:space="preserve">CUST1202</t>
  </si>
  <si>
    <t xml:space="preserve">CUST1203</t>
  </si>
  <si>
    <t xml:space="preserve">CUST1204</t>
  </si>
  <si>
    <t xml:space="preserve">CUST1205</t>
  </si>
  <si>
    <t xml:space="preserve">CUST1206</t>
  </si>
  <si>
    <t xml:space="preserve">CUST1207</t>
  </si>
  <si>
    <t xml:space="preserve">CUST1208</t>
  </si>
  <si>
    <t xml:space="preserve">CUST1209</t>
  </si>
  <si>
    <t xml:space="preserve">CUST1210</t>
  </si>
  <si>
    <t xml:space="preserve">CUST1211</t>
  </si>
  <si>
    <t xml:space="preserve">CUST1212</t>
  </si>
  <si>
    <t xml:space="preserve">CUST1213</t>
  </si>
  <si>
    <t xml:space="preserve">CUST1214</t>
  </si>
  <si>
    <t xml:space="preserve">CUST1215</t>
  </si>
  <si>
    <t xml:space="preserve">CUST1216</t>
  </si>
  <si>
    <t xml:space="preserve">CUST1217</t>
  </si>
  <si>
    <t xml:space="preserve">CUST1218</t>
  </si>
  <si>
    <t xml:space="preserve">CUST1219</t>
  </si>
  <si>
    <t xml:space="preserve">CUST1220</t>
  </si>
  <si>
    <t xml:space="preserve">CUST1221</t>
  </si>
  <si>
    <t xml:space="preserve">CUST1222</t>
  </si>
  <si>
    <t xml:space="preserve">CUST1223</t>
  </si>
  <si>
    <t xml:space="preserve">CUST1224</t>
  </si>
  <si>
    <t xml:space="preserve">CUST1225</t>
  </si>
  <si>
    <t xml:space="preserve">CUST1226</t>
  </si>
  <si>
    <t xml:space="preserve">CUST1227</t>
  </si>
  <si>
    <t xml:space="preserve">CUST1228</t>
  </si>
  <si>
    <t xml:space="preserve">CUST1229</t>
  </si>
  <si>
    <t xml:space="preserve">CUST1230</t>
  </si>
  <si>
    <t xml:space="preserve">CUST1231</t>
  </si>
  <si>
    <t xml:space="preserve">CUST1232</t>
  </si>
  <si>
    <t xml:space="preserve">CUST1233</t>
  </si>
  <si>
    <t xml:space="preserve">CUST1234</t>
  </si>
  <si>
    <t xml:space="preserve">CUST1235</t>
  </si>
  <si>
    <t xml:space="preserve">CUST1236</t>
  </si>
  <si>
    <t xml:space="preserve">CUST1237</t>
  </si>
  <si>
    <t xml:space="preserve">CUST1238</t>
  </si>
  <si>
    <t xml:space="preserve">CUST1239</t>
  </si>
  <si>
    <t xml:space="preserve">CUST1240</t>
  </si>
  <si>
    <t xml:space="preserve">CUST1241</t>
  </si>
  <si>
    <t xml:space="preserve">CUST1242</t>
  </si>
  <si>
    <t xml:space="preserve">CUST1243</t>
  </si>
  <si>
    <t xml:space="preserve">CUST1244</t>
  </si>
  <si>
    <t xml:space="preserve">CUST1245</t>
  </si>
  <si>
    <t xml:space="preserve">CUST1246</t>
  </si>
  <si>
    <t xml:space="preserve">CUST1247</t>
  </si>
  <si>
    <t xml:space="preserve">CUST1248</t>
  </si>
  <si>
    <t xml:space="preserve">CUST1249</t>
  </si>
  <si>
    <t xml:space="preserve">CUST1250</t>
  </si>
  <si>
    <t xml:space="preserve">CUST1251</t>
  </si>
  <si>
    <t xml:space="preserve">CUST1252</t>
  </si>
  <si>
    <t xml:space="preserve">CUST1253</t>
  </si>
  <si>
    <t xml:space="preserve">CUST1254</t>
  </si>
  <si>
    <t xml:space="preserve">CUST1255</t>
  </si>
  <si>
    <t xml:space="preserve">CUST1256</t>
  </si>
  <si>
    <t xml:space="preserve">CUST1257</t>
  </si>
  <si>
    <t xml:space="preserve">CUST1258</t>
  </si>
  <si>
    <t xml:space="preserve">CUST1259</t>
  </si>
  <si>
    <t xml:space="preserve">CUST1260</t>
  </si>
  <si>
    <t xml:space="preserve">CUST1261</t>
  </si>
  <si>
    <t xml:space="preserve">CUST1262</t>
  </si>
  <si>
    <t xml:space="preserve">CUST1263</t>
  </si>
  <si>
    <t xml:space="preserve">CUST1264</t>
  </si>
  <si>
    <t xml:space="preserve">CUST1265</t>
  </si>
  <si>
    <t xml:space="preserve">CUST1266</t>
  </si>
  <si>
    <t xml:space="preserve">CUST1267</t>
  </si>
  <si>
    <t xml:space="preserve">CUST1268</t>
  </si>
  <si>
    <t xml:space="preserve">CUST1269</t>
  </si>
  <si>
    <t xml:space="preserve">CUST1270</t>
  </si>
  <si>
    <t xml:space="preserve">CUST1271</t>
  </si>
  <si>
    <t xml:space="preserve">CUST1272</t>
  </si>
  <si>
    <t xml:space="preserve">CUST1273</t>
  </si>
  <si>
    <t xml:space="preserve">CUST1274</t>
  </si>
  <si>
    <t xml:space="preserve">CUST1275</t>
  </si>
  <si>
    <t xml:space="preserve">CUST1276</t>
  </si>
  <si>
    <t xml:space="preserve">CUST1277</t>
  </si>
  <si>
    <t xml:space="preserve">CUST1278</t>
  </si>
  <si>
    <t xml:space="preserve">CUST1279</t>
  </si>
  <si>
    <t xml:space="preserve">CUST1280</t>
  </si>
  <si>
    <t xml:space="preserve">CUST1281</t>
  </si>
  <si>
    <t xml:space="preserve">CUST1282</t>
  </si>
  <si>
    <t xml:space="preserve">CUST1283</t>
  </si>
  <si>
    <t xml:space="preserve">CUST1284</t>
  </si>
  <si>
    <t xml:space="preserve">CUST1285</t>
  </si>
  <si>
    <t xml:space="preserve">CUST1286</t>
  </si>
  <si>
    <t xml:space="preserve">CUST1287</t>
  </si>
  <si>
    <t xml:space="preserve">CUST1288</t>
  </si>
  <si>
    <t xml:space="preserve">CUST1289</t>
  </si>
  <si>
    <t xml:space="preserve">CUST1290</t>
  </si>
  <si>
    <t xml:space="preserve">CUST1291</t>
  </si>
  <si>
    <t xml:space="preserve">CUST1292</t>
  </si>
  <si>
    <t xml:space="preserve">CUST1293</t>
  </si>
  <si>
    <t xml:space="preserve">CUST1294</t>
  </si>
  <si>
    <t xml:space="preserve">CUST1295</t>
  </si>
  <si>
    <t xml:space="preserve">CUST1296</t>
  </si>
  <si>
    <t xml:space="preserve">CUST1297</t>
  </si>
  <si>
    <t xml:space="preserve">CUST1298</t>
  </si>
  <si>
    <t xml:space="preserve">CUST1299</t>
  </si>
  <si>
    <t xml:space="preserve">CUST1300</t>
  </si>
  <si>
    <t xml:space="preserve">CUST1301</t>
  </si>
  <si>
    <t xml:space="preserve">CUST1302</t>
  </si>
  <si>
    <t xml:space="preserve">CUST1303</t>
  </si>
  <si>
    <t xml:space="preserve">CUST1304</t>
  </si>
  <si>
    <t xml:space="preserve">CUST1305</t>
  </si>
  <si>
    <t xml:space="preserve">CUST1306</t>
  </si>
  <si>
    <t xml:space="preserve">CUST1307</t>
  </si>
  <si>
    <t xml:space="preserve">CUST1308</t>
  </si>
  <si>
    <t xml:space="preserve">CUST1309</t>
  </si>
  <si>
    <t xml:space="preserve">CUST1310</t>
  </si>
  <si>
    <t xml:space="preserve">CUST1311</t>
  </si>
  <si>
    <t xml:space="preserve">CUST1312</t>
  </si>
  <si>
    <t xml:space="preserve">CUST1313</t>
  </si>
  <si>
    <t xml:space="preserve">CUST1314</t>
  </si>
  <si>
    <t xml:space="preserve">CUST1315</t>
  </si>
  <si>
    <t xml:space="preserve">CUST1316</t>
  </si>
  <si>
    <t xml:space="preserve">CUST1317</t>
  </si>
  <si>
    <t xml:space="preserve">CUST1318</t>
  </si>
  <si>
    <t xml:space="preserve">CUST1319</t>
  </si>
  <si>
    <t xml:space="preserve">CUST1320</t>
  </si>
  <si>
    <t xml:space="preserve">CUST1321</t>
  </si>
  <si>
    <t xml:space="preserve">CUST1322</t>
  </si>
  <si>
    <t xml:space="preserve">CUST1323</t>
  </si>
  <si>
    <t xml:space="preserve">CUST1324</t>
  </si>
  <si>
    <t xml:space="preserve">CUST1325</t>
  </si>
  <si>
    <t xml:space="preserve">CUST1326</t>
  </si>
  <si>
    <t xml:space="preserve">CUST1327</t>
  </si>
  <si>
    <t xml:space="preserve">CUST1328</t>
  </si>
  <si>
    <t xml:space="preserve">CUST1329</t>
  </si>
  <si>
    <t xml:space="preserve">CUST1330</t>
  </si>
  <si>
    <t xml:space="preserve">CUST1331</t>
  </si>
  <si>
    <t xml:space="preserve">CUST1332</t>
  </si>
  <si>
    <t xml:space="preserve">CUST1333</t>
  </si>
  <si>
    <t xml:space="preserve">CUST1334</t>
  </si>
  <si>
    <t xml:space="preserve">CUST1335</t>
  </si>
  <si>
    <t xml:space="preserve">CUST1336</t>
  </si>
  <si>
    <t xml:space="preserve">CUST1337</t>
  </si>
  <si>
    <t xml:space="preserve">CUST1338</t>
  </si>
  <si>
    <t xml:space="preserve">CUST1339</t>
  </si>
  <si>
    <t xml:space="preserve">CUST1340</t>
  </si>
  <si>
    <t xml:space="preserve">CUST1341</t>
  </si>
  <si>
    <t xml:space="preserve">CUST1342</t>
  </si>
  <si>
    <t xml:space="preserve">CUST1343</t>
  </si>
  <si>
    <t xml:space="preserve">CUST1344</t>
  </si>
  <si>
    <t xml:space="preserve">CUST1345</t>
  </si>
  <si>
    <t xml:space="preserve">CUST1346</t>
  </si>
  <si>
    <t xml:space="preserve">CUST1347</t>
  </si>
  <si>
    <t xml:space="preserve">CUST1348</t>
  </si>
  <si>
    <t xml:space="preserve">CUST1349</t>
  </si>
  <si>
    <t xml:space="preserve">CUST1350</t>
  </si>
  <si>
    <t xml:space="preserve">CUST1351</t>
  </si>
  <si>
    <t xml:space="preserve">CUST1352</t>
  </si>
  <si>
    <t xml:space="preserve">CUST1353</t>
  </si>
  <si>
    <t xml:space="preserve">CUST1354</t>
  </si>
  <si>
    <t xml:space="preserve">CUST1355</t>
  </si>
  <si>
    <t xml:space="preserve">CUST1356</t>
  </si>
  <si>
    <t xml:space="preserve">CUST1357</t>
  </si>
  <si>
    <t xml:space="preserve">CUST1358</t>
  </si>
  <si>
    <t xml:space="preserve">CUST1359</t>
  </si>
  <si>
    <t xml:space="preserve">CUST1360</t>
  </si>
  <si>
    <t xml:space="preserve">CUST1361</t>
  </si>
  <si>
    <t xml:space="preserve">CUST1362</t>
  </si>
  <si>
    <t xml:space="preserve">CUST1363</t>
  </si>
  <si>
    <t xml:space="preserve">CUST1364</t>
  </si>
  <si>
    <t xml:space="preserve">CUST1365</t>
  </si>
  <si>
    <t xml:space="preserve">CUST1366</t>
  </si>
  <si>
    <t xml:space="preserve">CUST1367</t>
  </si>
  <si>
    <t xml:space="preserve">CUST1368</t>
  </si>
  <si>
    <t xml:space="preserve">CUST1369</t>
  </si>
  <si>
    <t xml:space="preserve">CUST1370</t>
  </si>
  <si>
    <t xml:space="preserve">CUST1371</t>
  </si>
  <si>
    <t xml:space="preserve">CUST1372</t>
  </si>
  <si>
    <t xml:space="preserve">CUST1373</t>
  </si>
  <si>
    <t xml:space="preserve">CUST1374</t>
  </si>
  <si>
    <t xml:space="preserve">CUST1375</t>
  </si>
  <si>
    <t xml:space="preserve">CUST1376</t>
  </si>
  <si>
    <t xml:space="preserve">CUST1377</t>
  </si>
  <si>
    <t xml:space="preserve">CUST1378</t>
  </si>
  <si>
    <t xml:space="preserve">CUST1379</t>
  </si>
  <si>
    <t xml:space="preserve">CUST1380</t>
  </si>
  <si>
    <t xml:space="preserve">CUST1381</t>
  </si>
  <si>
    <t xml:space="preserve">CUST1382</t>
  </si>
  <si>
    <t xml:space="preserve">CUST1383</t>
  </si>
  <si>
    <t xml:space="preserve">CUST1384</t>
  </si>
  <si>
    <t xml:space="preserve">CUST1385</t>
  </si>
  <si>
    <t xml:space="preserve">CUST1386</t>
  </si>
  <si>
    <t xml:space="preserve">CUST1387</t>
  </si>
  <si>
    <t xml:space="preserve">CUST1388</t>
  </si>
  <si>
    <t xml:space="preserve">CUST1389</t>
  </si>
  <si>
    <t xml:space="preserve">CUST1390</t>
  </si>
  <si>
    <t xml:space="preserve">CUST1391</t>
  </si>
  <si>
    <t xml:space="preserve">CUST1392</t>
  </si>
  <si>
    <t xml:space="preserve">CUST1393</t>
  </si>
  <si>
    <t xml:space="preserve">CUST1394</t>
  </si>
  <si>
    <t xml:space="preserve">CUST1395</t>
  </si>
  <si>
    <t xml:space="preserve">CUST1396</t>
  </si>
  <si>
    <t xml:space="preserve">CUST1397</t>
  </si>
  <si>
    <t xml:space="preserve">CUST1398</t>
  </si>
  <si>
    <t xml:space="preserve">CUST1399</t>
  </si>
  <si>
    <t xml:space="preserve">CUST1400</t>
  </si>
  <si>
    <t xml:space="preserve">CUST1401</t>
  </si>
  <si>
    <t xml:space="preserve">CUST1402</t>
  </si>
  <si>
    <t xml:space="preserve">CUST1403</t>
  </si>
  <si>
    <t xml:space="preserve">CUST1404</t>
  </si>
  <si>
    <t xml:space="preserve">CUST1405</t>
  </si>
  <si>
    <t xml:space="preserve">CUST1406</t>
  </si>
  <si>
    <t xml:space="preserve">CUST1407</t>
  </si>
  <si>
    <t xml:space="preserve">CUST1408</t>
  </si>
  <si>
    <t xml:space="preserve">CUST1409</t>
  </si>
  <si>
    <t xml:space="preserve">CUST1410</t>
  </si>
  <si>
    <t xml:space="preserve">CUST1411</t>
  </si>
  <si>
    <t xml:space="preserve">CUST1412</t>
  </si>
  <si>
    <t xml:space="preserve">CUST1413</t>
  </si>
  <si>
    <t xml:space="preserve">CUST1414</t>
  </si>
  <si>
    <t xml:space="preserve">CUST1415</t>
  </si>
  <si>
    <t xml:space="preserve">CUST1416</t>
  </si>
  <si>
    <t xml:space="preserve">CUST1417</t>
  </si>
  <si>
    <t xml:space="preserve">CUST1418</t>
  </si>
  <si>
    <t xml:space="preserve">CUST1419</t>
  </si>
  <si>
    <t xml:space="preserve">CUST1420</t>
  </si>
  <si>
    <t xml:space="preserve">CUST1421</t>
  </si>
  <si>
    <t xml:space="preserve">CUST1422</t>
  </si>
  <si>
    <t xml:space="preserve">CUST1423</t>
  </si>
  <si>
    <t xml:space="preserve">CUST1424</t>
  </si>
  <si>
    <t xml:space="preserve">CUST1425</t>
  </si>
  <si>
    <t xml:space="preserve">CUST1426</t>
  </si>
  <si>
    <t xml:space="preserve">CUST1427</t>
  </si>
  <si>
    <t xml:space="preserve">CUST1428</t>
  </si>
  <si>
    <t xml:space="preserve">CUST1429</t>
  </si>
  <si>
    <t xml:space="preserve">CUST1430</t>
  </si>
  <si>
    <t xml:space="preserve">CUST1431</t>
  </si>
  <si>
    <t xml:space="preserve">CUST1432</t>
  </si>
  <si>
    <t xml:space="preserve">CUST1433</t>
  </si>
  <si>
    <t xml:space="preserve">CUST1434</t>
  </si>
  <si>
    <t xml:space="preserve">CUST1435</t>
  </si>
  <si>
    <t xml:space="preserve">CUST1436</t>
  </si>
  <si>
    <t xml:space="preserve">CUST1437</t>
  </si>
  <si>
    <t xml:space="preserve">CUST1438</t>
  </si>
  <si>
    <t xml:space="preserve">CUST1439</t>
  </si>
  <si>
    <t xml:space="preserve">CUST1440</t>
  </si>
  <si>
    <t xml:space="preserve">CUST1441</t>
  </si>
  <si>
    <t xml:space="preserve">CUST1442</t>
  </si>
  <si>
    <t xml:space="preserve">CUST1443</t>
  </si>
  <si>
    <t xml:space="preserve">CUST1444</t>
  </si>
  <si>
    <t xml:space="preserve">CUST1445</t>
  </si>
  <si>
    <t xml:space="preserve">CUST1446</t>
  </si>
  <si>
    <t xml:space="preserve">CUST1447</t>
  </si>
  <si>
    <t xml:space="preserve">CUST1448</t>
  </si>
  <si>
    <t xml:space="preserve">CUST1449</t>
  </si>
  <si>
    <t xml:space="preserve">CUST1450</t>
  </si>
  <si>
    <t xml:space="preserve">CUST1451</t>
  </si>
  <si>
    <t xml:space="preserve">CUST1452</t>
  </si>
  <si>
    <t xml:space="preserve">CUST1453</t>
  </si>
  <si>
    <t xml:space="preserve">CUST1454</t>
  </si>
  <si>
    <t xml:space="preserve">CUST1455</t>
  </si>
  <si>
    <t xml:space="preserve">CUST1456</t>
  </si>
  <si>
    <t xml:space="preserve">CUST1457</t>
  </si>
  <si>
    <t xml:space="preserve">CUST1458</t>
  </si>
  <si>
    <t xml:space="preserve">CUST1459</t>
  </si>
  <si>
    <t xml:space="preserve">CUST1460</t>
  </si>
  <si>
    <t xml:space="preserve">CUST1461</t>
  </si>
  <si>
    <t xml:space="preserve">CUST1462</t>
  </si>
  <si>
    <t xml:space="preserve">CUST1463</t>
  </si>
  <si>
    <t xml:space="preserve">CUST1464</t>
  </si>
  <si>
    <t xml:space="preserve">CUST1465</t>
  </si>
  <si>
    <t xml:space="preserve">CUST1466</t>
  </si>
  <si>
    <t xml:space="preserve">CUST1467</t>
  </si>
  <si>
    <t xml:space="preserve">CUST1468</t>
  </si>
  <si>
    <t xml:space="preserve">CUST1469</t>
  </si>
  <si>
    <t xml:space="preserve">CUST1470</t>
  </si>
  <si>
    <t xml:space="preserve">CUST1471</t>
  </si>
  <si>
    <t xml:space="preserve">CUST1472</t>
  </si>
  <si>
    <t xml:space="preserve">CUST1473</t>
  </si>
  <si>
    <t xml:space="preserve">CUST1474</t>
  </si>
  <si>
    <t xml:space="preserve">CUST1475</t>
  </si>
  <si>
    <t xml:space="preserve">CUST1476</t>
  </si>
  <si>
    <t xml:space="preserve">CUST1477</t>
  </si>
  <si>
    <t xml:space="preserve">CUST1478</t>
  </si>
  <si>
    <t xml:space="preserve">CUST1479</t>
  </si>
  <si>
    <t xml:space="preserve">CUST1480</t>
  </si>
  <si>
    <t xml:space="preserve">CUST1481</t>
  </si>
  <si>
    <t xml:space="preserve">CUST1482</t>
  </si>
  <si>
    <t xml:space="preserve">CUST1483</t>
  </si>
  <si>
    <t xml:space="preserve">CUST1484</t>
  </si>
  <si>
    <t xml:space="preserve">CUST1485</t>
  </si>
  <si>
    <t xml:space="preserve">CUST1486</t>
  </si>
  <si>
    <t xml:space="preserve">CUST1487</t>
  </si>
  <si>
    <t xml:space="preserve">CUST1488</t>
  </si>
  <si>
    <t xml:space="preserve">CUST1489</t>
  </si>
  <si>
    <t xml:space="preserve">CUST1490</t>
  </si>
  <si>
    <t xml:space="preserve">CUST1491</t>
  </si>
  <si>
    <t xml:space="preserve">CUST1492</t>
  </si>
  <si>
    <t xml:space="preserve">CUST1493</t>
  </si>
  <si>
    <t xml:space="preserve">CUST1494</t>
  </si>
  <si>
    <t xml:space="preserve">CUST1495</t>
  </si>
  <si>
    <t xml:space="preserve">CUST1496</t>
  </si>
  <si>
    <t xml:space="preserve">CUST1497</t>
  </si>
  <si>
    <t xml:space="preserve">CUST1498</t>
  </si>
  <si>
    <t xml:space="preserve">CUST1499</t>
  </si>
  <si>
    <t xml:space="preserve">CUST1500</t>
  </si>
  <si>
    <t xml:space="preserve">CUSTOMER SEGMENTATION — RFM ANALYSIS (Recency · Frequency · Monetary)</t>
  </si>
  <si>
    <t xml:space="preserve">Segments classified as: 🔴 Low Value  |  🟡 Medium Value  |  🟢 High Value  |  ⭐ Premium</t>
  </si>
  <si>
    <t xml:space="preserve">Customer ID</t>
  </si>
  <si>
    <t xml:space="preserve">Total Orders</t>
  </si>
  <si>
    <t xml:space="preserve">Total Revenue (₹)</t>
  </si>
  <si>
    <t xml:space="preserve">Avg Order Value (₹)</t>
  </si>
  <si>
    <t xml:space="preserve">Discount Avg %</t>
  </si>
  <si>
    <t xml:space="preserve">Segment</t>
  </si>
  <si>
    <t xml:space="preserve">🟢 High Value</t>
  </si>
  <si>
    <t xml:space="preserve">⭐ Premium</t>
  </si>
  <si>
    <t xml:space="preserve">🟡 Medium Value</t>
  </si>
  <si>
    <t xml:space="preserve">🔴 Low Value</t>
  </si>
  <si>
    <t xml:space="preserve">SEGMENTATION SUMMARY</t>
  </si>
  <si>
    <t xml:space="preserve">Customer Count</t>
  </si>
  <si>
    <t xml:space="preserve">% of Customers</t>
  </si>
  <si>
    <t xml:space="preserve">% of Revenue</t>
  </si>
  <si>
    <t xml:space="preserve">Avg Revenue/Customer</t>
  </si>
  <si>
    <t xml:space="preserve">Strategy</t>
  </si>
  <si>
    <t xml:space="preserve">16%</t>
  </si>
  <si>
    <t xml:space="preserve">₹12,450,000</t>
  </si>
  <si>
    <t xml:space="preserve">38%</t>
  </si>
  <si>
    <t xml:space="preserve">₹1,556,250</t>
  </si>
  <si>
    <t xml:space="preserve">VIP retention &amp; upsell</t>
  </si>
  <si>
    <t xml:space="preserve">24%</t>
  </si>
  <si>
    <t xml:space="preserve">₹9,800,000</t>
  </si>
  <si>
    <t xml:space="preserve">30%</t>
  </si>
  <si>
    <t xml:space="preserve">₹816,667</t>
  </si>
  <si>
    <t xml:space="preserve">Grow &amp; cross-sell</t>
  </si>
  <si>
    <t xml:space="preserve">36%</t>
  </si>
  <si>
    <t xml:space="preserve">₹7,200,000</t>
  </si>
  <si>
    <t xml:space="preserve">22%</t>
  </si>
  <si>
    <t xml:space="preserve">₹400,000</t>
  </si>
  <si>
    <t xml:space="preserve">Nurture &amp; convert to High</t>
  </si>
  <si>
    <t xml:space="preserve">₹3,290,000</t>
  </si>
  <si>
    <t xml:space="preserve">10%</t>
  </si>
  <si>
    <t xml:space="preserve">₹274,167</t>
  </si>
  <si>
    <t xml:space="preserve">Re-engage or reduce spend</t>
  </si>
  <si>
    <t xml:space="preserve">REVENUE ANALYSIS — PARETO (80/20) &amp; TOP SEGMENT IDENTIFICATION</t>
  </si>
  <si>
    <t xml:space="preserve">✅ Finding: Top 15% of customers generate 62% of total revenue — Pareto principle validated</t>
  </si>
  <si>
    <t xml:space="preserve">REVENUE BY PRODUCT CATEGORY</t>
  </si>
  <si>
    <t xml:space="preserve">PARETO ANALYSIS — CUMULATIVE REVENUE</t>
  </si>
  <si>
    <t xml:space="preserve">Gross Revenue (₹)</t>
  </si>
  <si>
    <t xml:space="preserve">% of Total</t>
  </si>
  <si>
    <t xml:space="preserve">Customer Tier</t>
  </si>
  <si>
    <t xml:space="preserve">Cumulative %</t>
  </si>
  <si>
    <t xml:space="preserve">Top 5%</t>
  </si>
  <si>
    <t xml:space="preserve">5%</t>
  </si>
  <si>
    <t xml:space="preserve">₹8,200,000</t>
  </si>
  <si>
    <t xml:space="preserve">25%</t>
  </si>
  <si>
    <t xml:space="preserve">Top 15%</t>
  </si>
  <si>
    <t xml:space="preserve">15%</t>
  </si>
  <si>
    <t xml:space="preserve">₹20,340,000</t>
  </si>
  <si>
    <t xml:space="preserve">62%</t>
  </si>
  <si>
    <t xml:space="preserve">Top 30%</t>
  </si>
  <si>
    <t xml:space="preserve">₹26,520,000</t>
  </si>
  <si>
    <t xml:space="preserve">81%</t>
  </si>
  <si>
    <t xml:space="preserve">Top 50%</t>
  </si>
  <si>
    <t xml:space="preserve">50%</t>
  </si>
  <si>
    <t xml:space="preserve">₹31,200,000</t>
  </si>
  <si>
    <t xml:space="preserve">95%</t>
  </si>
  <si>
    <t xml:space="preserve">Bottom 50%</t>
  </si>
  <si>
    <t xml:space="preserve">₹1,540,000</t>
  </si>
  <si>
    <t xml:space="preserve">TOTAL</t>
  </si>
  <si>
    <t xml:space="preserve">100.0%</t>
  </si>
  <si>
    <t xml:space="preserve">PRICING STRATEGY — DISCOUNT IMPACT &amp; MARGIN OPTIMIZATION</t>
  </si>
  <si>
    <t xml:space="preserve">📌 Key Finding: Reducing avg discount from 8.5% to 5% increases net margin by ₹18.5L annually</t>
  </si>
  <si>
    <t xml:space="preserve">Price Band</t>
  </si>
  <si>
    <t xml:space="preserve">Customers</t>
  </si>
  <si>
    <t xml:space="preserve">Avg Discount %</t>
  </si>
  <si>
    <t xml:space="preserve">Gross Rev (₹)</t>
  </si>
  <si>
    <t xml:space="preserve">Net Rev (₹)</t>
  </si>
  <si>
    <t xml:space="preserve">Margin Impact</t>
  </si>
  <si>
    <t xml:space="preserve">Recommendation</t>
  </si>
  <si>
    <t xml:space="preserve">Budget</t>
  </si>
  <si>
    <t xml:space="preserve">12%</t>
  </si>
  <si>
    <t xml:space="preserve">Low</t>
  </si>
  <si>
    <t xml:space="preserve">Reduce discount to 8%</t>
  </si>
  <si>
    <t xml:space="preserve">Economy</t>
  </si>
  <si>
    <t xml:space="preserve">Medium</t>
  </si>
  <si>
    <t xml:space="preserve">Cap at 7%, bundle offers</t>
  </si>
  <si>
    <t xml:space="preserve">Standard</t>
  </si>
  <si>
    <t xml:space="preserve">8%</t>
  </si>
  <si>
    <t xml:space="preserve">Target 5%, loyalty prog.</t>
  </si>
  <si>
    <t xml:space="preserve">Premium</t>
  </si>
  <si>
    <t xml:space="preserve">High</t>
  </si>
  <si>
    <t xml:space="preserve">Maintain, add VIP perks</t>
  </si>
  <si>
    <t xml:space="preserve">Enterprise</t>
  </si>
  <si>
    <t xml:space="preserve">3%</t>
  </si>
  <si>
    <t xml:space="preserve">Negotiate volume deals</t>
  </si>
  <si>
    <t xml:space="preserve">REGIONAL SALES ANALYSIS — 5 ZONE PERFORMANCE BREAKDOWN</t>
  </si>
  <si>
    <t xml:space="preserve">Avg Deal Size (₹)</t>
  </si>
  <si>
    <t xml:space="preserve">Top Category</t>
  </si>
  <si>
    <t xml:space="preserve">Growth YoY</t>
  </si>
  <si>
    <t xml:space="preserve">+18.2%</t>
  </si>
  <si>
    <t xml:space="preserve">+12.5%</t>
  </si>
  <si>
    <t xml:space="preserve">+22.1%</t>
  </si>
  <si>
    <t xml:space="preserve">+8.3%</t>
  </si>
  <si>
    <t xml:space="preserve">+5.6%</t>
  </si>
  <si>
    <t xml:space="preserve">MONTHLY SALES TREND ANALYSIS — FY2022 vs FY2023</t>
  </si>
  <si>
    <t xml:space="preserve">FY2022 Revenue (₹)</t>
  </si>
  <si>
    <t xml:space="preserve">FY2023 Revenue (₹)</t>
  </si>
  <si>
    <t xml:space="preserve">YoY Growth (₹)</t>
  </si>
  <si>
    <t xml:space="preserve">YoY Growth %</t>
  </si>
  <si>
    <t xml:space="preserve">FY2022 Orders</t>
  </si>
  <si>
    <t xml:space="preserve">FY2023 Orders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</si>
  <si>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</si>
  <si>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</si>
  <si>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</si>
  <si>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</si>
  <si>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</si>
  <si>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</si>
  <si>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</si>
  <si>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</si>
  <si>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</si>
  <si>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</si>
  <si>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</si>
  <si>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</si>
  <si>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MSME SALES ANALYTICS — EXECUTIVE DASHBOARD</t>
  </si>
  <si>
    <t xml:space="preserve">Analyst: Vaibhav Kulshrestha  |  FY2022–2023  |  Sector: SME/MSME  |  Tool: Advanced Excel</t>
  </si>
  <si>
    <t xml:space="preserve">Total Revenue</t>
  </si>
  <si>
    <t xml:space="preserve">Top Segment</t>
  </si>
  <si>
    <t xml:space="preserve">Avg Deal Size</t>
  </si>
  <si>
    <t xml:space="preserve">YoY Growth</t>
  </si>
  <si>
    <t xml:space="preserve">Regions</t>
  </si>
  <si>
    <t xml:space="preserve">₹3.27 Cr</t>
  </si>
  <si>
    <t xml:space="preserve">15% Customers</t>
  </si>
  <si>
    <t xml:space="preserve">₹65,400</t>
  </si>
  <si>
    <t xml:space="preserve">+18.4%</t>
  </si>
  <si>
    <t xml:space="preserve">5 Zones</t>
  </si>
  <si>
    <t xml:space="preserve">3,340</t>
  </si>
  <si>
    <t xml:space="preserve">FY2022-23</t>
  </si>
  <si>
    <t xml:space="preserve">Per Customer</t>
  </si>
  <si>
    <t xml:space="preserve">FY22 → FY23</t>
  </si>
  <si>
    <t xml:space="preserve">North leads</t>
  </si>
  <si>
    <t xml:space="preserve">KEY FINDINGS &amp; STRATEGIC RECOMMENDATIONS</t>
  </si>
  <si>
    <t xml:space="preserve">🏆</t>
  </si>
  <si>
    <t xml:space="preserve">Pareto Validation</t>
  </si>
  <si>
    <t xml:space="preserve">Top 15% of customers (Premium + High Value) contribute 62% of total net revenue — confirming 80/20 rule in MSME segment.</t>
  </si>
  <si>
    <t xml:space="preserve">📍</t>
  </si>
  <si>
    <t xml:space="preserve">Regional Opportunity</t>
  </si>
  <si>
    <t xml:space="preserve">West region shows highest YoY growth (+22.1%) — recommend increasing sales force allocation by 20% in West zone.</t>
  </si>
  <si>
    <t xml:space="preserve">💰</t>
  </si>
  <si>
    <t xml:space="preserve">Pricing Optimization</t>
  </si>
  <si>
    <t xml:space="preserve">Reducing average discount from 8.5% to 5% across Budget &amp; Economy tiers adds est. ₹18.5L to annual net revenue.</t>
  </si>
  <si>
    <t xml:space="preserve">📈</t>
  </si>
  <si>
    <t xml:space="preserve">Growth Trend</t>
  </si>
  <si>
    <t xml:space="preserve">FY2023 shows consistent month-on-month growth vs FY2022 with Q4 peak — recommend inventory build-up pre-Q4.</t>
  </si>
  <si>
    <t xml:space="preserve">🎯</t>
  </si>
  <si>
    <t xml:space="preserve">Customer Strategy</t>
  </si>
  <si>
    <t xml:space="preserve">Re-engage 24% Low Value customers with targeted offers; convert Medium Value to High Value through loyalty programs.</t>
  </si>
  <si>
    <t xml:space="preserve">🏭</t>
  </si>
  <si>
    <t xml:space="preserve">Category Focus</t>
  </si>
  <si>
    <t xml:space="preserve">Electronics &amp; Machinery drive highest net margins — prioritize these categories in new customer acquisition campaigns.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</si>
</sst>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"/>
    <numFmt numFmtId="166" formatCode="0\%"/>
    <numFmt numFmtId="167" formatCode="0.0\%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7E5816"/>
      <name val="Arial"/>
      <family val="0"/>
      <charset val="1"/>
    </font>
    <font>
      <b val="true"/>
      <sz val="10"/>
      <color rgb="FF70AD47"/>
      <name val="Arial"/>
      <family val="0"/>
      <charset val="1"/>
    </font>
    <font>
      <sz val="10"/>
      <color rgb="FF70AD47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75623"/>
      </patternFill>
    </fill>
    <fill>
      <patternFill patternType="solid">
        <fgColor rgb="FF2E75B6"/>
        <bgColor rgb="FF4A7EBB"/>
      </patternFill>
    </fill>
    <fill>
      <patternFill patternType="solid">
        <fgColor rgb="FFD6E4F0"/>
        <bgColor rgb="FFD9D9D9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E2EFDA"/>
        <bgColor rgb="FFF2F2F2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E2EFDA"/>
      </patternFill>
    </fill>
    <fill>
      <patternFill patternType="solid">
        <fgColor rgb="FFFFC7CE"/>
        <bgColor rgb="FFD9D9D9"/>
      </patternFill>
    </fill>
    <fill>
      <patternFill patternType="solid">
        <fgColor rgb="FF70AD47"/>
        <bgColor rgb="FF9BBB59"/>
      </patternFill>
    </fill>
    <fill>
      <patternFill patternType="solid">
        <fgColor rgb="FF595959"/>
        <bgColor rgb="FF37562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E5816"/>
      <rgbColor rgb="FF800080"/>
      <rgbColor rgb="FF4F81BD"/>
      <rgbColor rgb="FFBFBFBF"/>
      <rgbColor rgb="FF878787"/>
      <rgbColor rgb="FF9999FF"/>
      <rgbColor rgb="FFBE4B48"/>
      <rgbColor rgb="FFF9F9F9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FEB9C"/>
      <rgbColor rgb="FFF2F2F2"/>
      <rgbColor rgb="FFFF99CC"/>
      <rgbColor rgb="FFCC99FF"/>
      <rgbColor rgb="FFFFC7CE"/>
      <rgbColor rgb="FF2E75B6"/>
      <rgbColor rgb="FF4BACC6"/>
      <rgbColor rgb="FF9BBB59"/>
      <rgbColor rgb="FFFFCC00"/>
      <rgbColor rgb="FFFF9900"/>
      <rgbColor rgb="FFFF6600"/>
      <rgbColor rgb="FF8064A2"/>
      <rgbColor rgb="FF70AD47"/>
      <rgbColor rgb="FF1F3864"/>
      <rgbColor rgb="FF4A7EBB"/>
      <rgbColor rgb="FF003300"/>
      <rgbColor rgb="FF333300"/>
      <rgbColor rgb="FF993300"/>
      <rgbColor rgb="FFC0504D"/>
      <rgbColor rgb="FF59595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Revenue by Category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'📈 Revenue Analysis'!D5</c:f>
              <c:strCache>
                <c:ptCount val="1"/>
                <c:pt idx="0">
                  <c:v>Net Revenue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Revenue Analysis'!$A$6:$A$11</c:f>
              <c:strCache>
                <c:ptCount val="6"/>
                <c:pt idx="0">
                  <c:v>Electronics</c:v>
                </c:pt>
                <c:pt idx="1">
                  <c:v>Machinery</c:v>
                </c:pt>
                <c:pt idx="2">
                  <c:v>Auto Parts</c:v>
                </c:pt>
                <c:pt idx="3">
                  <c:v>Chemicals</c:v>
                </c:pt>
                <c:pt idx="4">
                  <c:v>Textiles</c:v>
                </c:pt>
                <c:pt idx="5">
                  <c:v>Food &amp; Bev</c:v>
                </c:pt>
              </c:strCache>
            </c:strRef>
          </c:cat>
          <c:val>
            <c:numRef>
              <c:f>'📈 Revenue Analysis'!$D$6:$D$11</c:f>
              <c:numCache>
                <c:formatCode>\₹#,##0</c:formatCode>
                <c:ptCount val="6"/>
                <c:pt idx="0">
                  <c:v>13340000</c:v>
                </c:pt>
                <c:pt idx="1">
                  <c:v>9016000</c:v>
                </c:pt>
                <c:pt idx="2">
                  <c:v>7626000</c:v>
                </c:pt>
                <c:pt idx="3">
                  <c:v>7144000</c:v>
                </c:pt>
                <c:pt idx="4">
                  <c:v>5985000</c:v>
                </c:pt>
                <c:pt idx="5">
                  <c:v>4032000</c:v>
                </c:pt>
              </c:numCache>
            </c:numRef>
          </c:val>
        </c:ser>
        <c:gapWidth val="150"/>
        <c:overlap val="0"/>
        <c:axId val="65681238"/>
        <c:axId val="58527160"/>
      </c:barChart>
      <c:catAx>
        <c:axId val="656812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527160"/>
        <c:crosses val="autoZero"/>
        <c:auto val="1"/>
        <c:lblAlgn val="ctr"/>
        <c:lblOffset val="100"/>
        <c:noMultiLvlLbl val="0"/>
      </c:catAx>
      <c:valAx>
        <c:axId val="585271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Net 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6812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'🗺️ Regional Analysis'!E3</c:f>
              <c:strCache>
                <c:ptCount val="1"/>
                <c:pt idx="0">
                  <c:v>Net Revenue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'🗺️ Regional Analysis'!$A$4:$A$8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  <c:pt idx="3">
                  <c:v>East</c:v>
                </c:pt>
                <c:pt idx="4">
                  <c:v>Central</c:v>
                </c:pt>
              </c:strCache>
            </c:strRef>
          </c:cat>
          <c:val>
            <c:numRef>
              <c:f>'🗺️ Regional Analysis'!$E$4:$E$8</c:f>
              <c:numCache>
                <c:formatCode>\₹#,##0</c:formatCode>
                <c:ptCount val="5"/>
                <c:pt idx="0">
                  <c:v>11625000</c:v>
                </c:pt>
                <c:pt idx="1">
                  <c:v>9212000</c:v>
                </c:pt>
                <c:pt idx="2">
                  <c:v>10528000</c:v>
                </c:pt>
                <c:pt idx="3">
                  <c:v>5952000</c:v>
                </c:pt>
                <c:pt idx="4">
                  <c:v>3948000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Trend: FY2022 vs FY2023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'📉 Trend Analysis'!B3</c:f>
              <c:strCache>
                <c:ptCount val="1"/>
                <c:pt idx="0">
                  <c:v>FY2022 Revenue (₹)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Trend Analysis'!$A$4:$A$15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'📉 Trend Analysis'!$B$4:$B$15</c:f>
              <c:numCache>
                <c:formatCode>\₹#,##0</c:formatCode>
                <c:ptCount val="12"/>
                <c:pt idx="0">
                  <c:v>1850000</c:v>
                </c:pt>
                <c:pt idx="1">
                  <c:v>1720000</c:v>
                </c:pt>
                <c:pt idx="2">
                  <c:v>2100000</c:v>
                </c:pt>
                <c:pt idx="3">
                  <c:v>2300000</c:v>
                </c:pt>
                <c:pt idx="4">
                  <c:v>2450000</c:v>
                </c:pt>
                <c:pt idx="5">
                  <c:v>2800000</c:v>
                </c:pt>
                <c:pt idx="6">
                  <c:v>2600000</c:v>
                </c:pt>
                <c:pt idx="7">
                  <c:v>2750000</c:v>
                </c:pt>
                <c:pt idx="8">
                  <c:v>3100000</c:v>
                </c:pt>
                <c:pt idx="9">
                  <c:v>3400000</c:v>
                </c:pt>
                <c:pt idx="10">
                  <c:v>3800000</c:v>
                </c:pt>
                <c:pt idx="11">
                  <c:v>4200000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'📉 Trend Analysis'!C3</c:f>
              <c:strCache>
                <c:ptCount val="1"/>
                <c:pt idx="0">
                  <c:v>FY2023 Revenue (₹)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Trend Analysis'!$A$4:$A$15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'📉 Trend Analysis'!$C$4:$C$15</c:f>
              <c:numCache>
                <c:formatCode>\₹#,##0</c:formatCode>
                <c:ptCount val="12"/>
                <c:pt idx="0">
                  <c:v>2200000</c:v>
                </c:pt>
                <c:pt idx="1">
                  <c:v>2050000</c:v>
                </c:pt>
                <c:pt idx="2">
                  <c:v>2500000</c:v>
                </c:pt>
                <c:pt idx="3">
                  <c:v>2750000</c:v>
                </c:pt>
                <c:pt idx="4">
                  <c:v>2950000</c:v>
                </c:pt>
                <c:pt idx="5">
                  <c:v>3300000</c:v>
                </c:pt>
                <c:pt idx="6">
                  <c:v>3100000</c:v>
                </c:pt>
                <c:pt idx="7">
                  <c:v>3350000</c:v>
                </c:pt>
                <c:pt idx="8">
                  <c:v>3700000</c:v>
                </c:pt>
                <c:pt idx="9">
                  <c:v>4100000</c:v>
                </c:pt>
                <c:pt idx="10">
                  <c:v>4600000</c:v>
                </c:pt>
                <c:pt idx="11">
                  <c:v>5100000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5434347"/>
        <c:axId val="29780151"/>
      </c:lineChart>
      <c:catAx>
        <c:axId val="754343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780151"/>
        <c:crosses val="autoZero"/>
        <c:auto val="1"/>
        <c:lblAlgn val="ctr"/>
        <c:lblOffset val="100"/>
        <c:noMultiLvlLbl val="0"/>
      </c:catAx>
      <c:valAx>
        <c:axId val="297801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4343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7</xdr:col>
      <xdr:colOff>276480</xdr:colOff>
      <xdr:row>35</xdr:row>
      <xdr:rowOff>128520</xdr:rowOff>
    </xdr:to>
    <xdr:graphicFrame>
      <xdr:nvGraphicFramePr>
        <xdr:cNvPr id="0" name="Chart 1"/>
        <xdr:cNvGraphicFramePr/>
      </xdr:nvGraphicFramePr>
      <xdr:xfrm>
        <a:off x="0" y="3381480"/>
        <a:ext cx="647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5</xdr:col>
      <xdr:colOff>895680</xdr:colOff>
      <xdr:row>31</xdr:row>
      <xdr:rowOff>128520</xdr:rowOff>
    </xdr:to>
    <xdr:graphicFrame>
      <xdr:nvGraphicFramePr>
        <xdr:cNvPr id="1" name="Chart 1"/>
        <xdr:cNvGraphicFramePr/>
      </xdr:nvGraphicFramePr>
      <xdr:xfrm>
        <a:off x="0" y="2381400"/>
        <a:ext cx="575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0</xdr:rowOff>
    </xdr:from>
    <xdr:to>
      <xdr:col>7</xdr:col>
      <xdr:colOff>165960</xdr:colOff>
      <xdr:row>42</xdr:row>
      <xdr:rowOff>86400</xdr:rowOff>
    </xdr:to>
    <xdr:graphicFrame>
      <xdr:nvGraphicFramePr>
        <xdr:cNvPr id="2" name="Chart 1"/>
        <xdr:cNvGraphicFramePr/>
      </xdr:nvGraphicFramePr>
      <xdr:xfrm>
        <a:off x="0" y="3886200"/>
        <a:ext cx="791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4" min="3" style="1" width="22"/>
    <col collapsed="false" customWidth="true" hidden="false" outlineLevel="0" max="9" min="5" style="1" width="18"/>
  </cols>
  <sheetData>
    <row r="1" customFormat="false" ht="15" hidden="false" customHeight="true" outlineLevel="0" collapsed="false"/>
    <row r="2" customFormat="false" ht="4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B3" s="3" t="s">
        <v>1</v>
      </c>
      <c r="C3" s="3"/>
      <c r="D3" s="3"/>
      <c r="E3" s="3"/>
      <c r="F3" s="3"/>
      <c r="G3" s="3"/>
      <c r="H3" s="3"/>
      <c r="I3" s="3"/>
    </row>
    <row r="4" customFormat="false" ht="21.75" hidden="false" customHeight="true" outlineLevel="0" collapsed="false">
      <c r="B4" s="4" t="s">
        <v>2</v>
      </c>
      <c r="C4" s="4"/>
      <c r="D4" s="4"/>
      <c r="E4" s="4"/>
      <c r="F4" s="4"/>
      <c r="G4" s="4"/>
      <c r="H4" s="4"/>
      <c r="I4" s="4"/>
    </row>
    <row r="5" customFormat="false" ht="9.75" hidden="false" customHeight="true" outlineLevel="0" collapsed="false"/>
    <row r="6" customFormat="false" ht="27.75" hidden="false" customHeight="true" outlineLevel="0" collapsed="false">
      <c r="B6" s="5" t="s">
        <v>3</v>
      </c>
      <c r="C6" s="5"/>
      <c r="D6" s="5"/>
      <c r="E6" s="5"/>
      <c r="F6" s="5"/>
      <c r="G6" s="5"/>
      <c r="H6" s="5"/>
      <c r="I6" s="5"/>
    </row>
    <row r="7" customFormat="false" ht="21.75" hidden="false" customHeight="true" outlineLevel="0" collapsed="false">
      <c r="B7" s="6" t="s">
        <v>4</v>
      </c>
      <c r="C7" s="6"/>
      <c r="D7" s="7" t="s">
        <v>5</v>
      </c>
      <c r="E7" s="7"/>
      <c r="F7" s="7"/>
      <c r="G7" s="7"/>
      <c r="H7" s="7"/>
      <c r="I7" s="7"/>
    </row>
    <row r="8" customFormat="false" ht="21.75" hidden="false" customHeight="true" outlineLevel="0" collapsed="false">
      <c r="B8" s="6" t="s">
        <v>6</v>
      </c>
      <c r="C8" s="6"/>
      <c r="D8" s="7" t="s">
        <v>7</v>
      </c>
      <c r="E8" s="7"/>
      <c r="F8" s="7"/>
      <c r="G8" s="7"/>
      <c r="H8" s="7"/>
      <c r="I8" s="7"/>
    </row>
    <row r="9" customFormat="false" ht="21.75" hidden="false" customHeight="true" outlineLevel="0" collapsed="false">
      <c r="B9" s="6" t="s">
        <v>8</v>
      </c>
      <c r="C9" s="6"/>
      <c r="D9" s="7" t="s">
        <v>9</v>
      </c>
      <c r="E9" s="7"/>
      <c r="F9" s="7"/>
      <c r="G9" s="7"/>
      <c r="H9" s="7"/>
      <c r="I9" s="7"/>
    </row>
    <row r="10" customFormat="false" ht="21.75" hidden="false" customHeight="true" outlineLevel="0" collapsed="false">
      <c r="B10" s="6" t="s">
        <v>10</v>
      </c>
      <c r="C10" s="6"/>
      <c r="D10" s="7" t="s">
        <v>11</v>
      </c>
      <c r="E10" s="7"/>
      <c r="F10" s="7"/>
      <c r="G10" s="7"/>
      <c r="H10" s="7"/>
      <c r="I10" s="7"/>
    </row>
    <row r="11" customFormat="false" ht="21.75" hidden="false" customHeight="true" outlineLevel="0" collapsed="false">
      <c r="B11" s="6" t="s">
        <v>12</v>
      </c>
      <c r="C11" s="6"/>
      <c r="D11" s="7" t="s">
        <v>13</v>
      </c>
      <c r="E11" s="7"/>
      <c r="F11" s="7"/>
      <c r="G11" s="7"/>
      <c r="H11" s="7"/>
      <c r="I11" s="7"/>
    </row>
    <row r="12" customFormat="false" ht="21.75" hidden="false" customHeight="true" outlineLevel="0" collapsed="false">
      <c r="B12" s="6" t="s">
        <v>14</v>
      </c>
      <c r="C12" s="6"/>
      <c r="D12" s="7" t="s">
        <v>15</v>
      </c>
      <c r="E12" s="7"/>
      <c r="F12" s="7"/>
      <c r="G12" s="7"/>
      <c r="H12" s="7"/>
      <c r="I12" s="7"/>
    </row>
    <row r="13" customFormat="false" ht="12" hidden="false" customHeight="true" outlineLevel="0" collapsed="false"/>
    <row r="14" customFormat="false" ht="27.75" hidden="false" customHeight="true" outlineLevel="0" collapsed="false">
      <c r="B14" s="5" t="s">
        <v>16</v>
      </c>
      <c r="C14" s="5"/>
      <c r="D14" s="5"/>
      <c r="E14" s="5"/>
      <c r="F14" s="5"/>
      <c r="G14" s="5"/>
      <c r="H14" s="5"/>
      <c r="I14" s="5"/>
    </row>
    <row r="15" customFormat="false" ht="19.5" hidden="false" customHeight="true" outlineLevel="0" collapsed="false">
      <c r="B15" s="8" t="s">
        <v>17</v>
      </c>
      <c r="C15" s="8"/>
      <c r="D15" s="8"/>
      <c r="E15" s="9" t="s">
        <v>18</v>
      </c>
      <c r="F15" s="9"/>
      <c r="G15" s="9"/>
      <c r="H15" s="9"/>
      <c r="I15" s="9"/>
    </row>
    <row r="16" customFormat="false" ht="19.5" hidden="false" customHeight="true" outlineLevel="0" collapsed="false">
      <c r="B16" s="8" t="s">
        <v>19</v>
      </c>
      <c r="C16" s="8"/>
      <c r="D16" s="8"/>
      <c r="E16" s="10" t="s">
        <v>20</v>
      </c>
      <c r="F16" s="10"/>
      <c r="G16" s="10"/>
      <c r="H16" s="10"/>
      <c r="I16" s="10"/>
    </row>
    <row r="17" customFormat="false" ht="19.5" hidden="false" customHeight="true" outlineLevel="0" collapsed="false">
      <c r="B17" s="8" t="s">
        <v>21</v>
      </c>
      <c r="C17" s="8"/>
      <c r="D17" s="8"/>
      <c r="E17" s="9" t="s">
        <v>22</v>
      </c>
      <c r="F17" s="9"/>
      <c r="G17" s="9"/>
      <c r="H17" s="9"/>
      <c r="I17" s="9"/>
    </row>
    <row r="18" customFormat="false" ht="19.5" hidden="false" customHeight="true" outlineLevel="0" collapsed="false">
      <c r="B18" s="8" t="s">
        <v>23</v>
      </c>
      <c r="C18" s="8"/>
      <c r="D18" s="8"/>
      <c r="E18" s="10" t="s">
        <v>24</v>
      </c>
      <c r="F18" s="10"/>
      <c r="G18" s="10"/>
      <c r="H18" s="10"/>
      <c r="I18" s="10"/>
    </row>
    <row r="19" customFormat="false" ht="19.5" hidden="false" customHeight="true" outlineLevel="0" collapsed="false">
      <c r="B19" s="8" t="s">
        <v>25</v>
      </c>
      <c r="C19" s="8"/>
      <c r="D19" s="8"/>
      <c r="E19" s="9" t="s">
        <v>26</v>
      </c>
      <c r="F19" s="9"/>
      <c r="G19" s="9"/>
      <c r="H19" s="9"/>
      <c r="I19" s="9"/>
    </row>
    <row r="20" customFormat="false" ht="19.5" hidden="false" customHeight="true" outlineLevel="0" collapsed="false">
      <c r="B20" s="8" t="s">
        <v>27</v>
      </c>
      <c r="C20" s="8"/>
      <c r="D20" s="8"/>
      <c r="E20" s="10" t="s">
        <v>28</v>
      </c>
      <c r="F20" s="10"/>
      <c r="G20" s="10"/>
      <c r="H20" s="10"/>
      <c r="I20" s="10"/>
    </row>
    <row r="21" customFormat="false" ht="19.5" hidden="false" customHeight="true" outlineLevel="0" collapsed="false">
      <c r="B21" s="8" t="s">
        <v>29</v>
      </c>
      <c r="C21" s="8"/>
      <c r="D21" s="8"/>
      <c r="E21" s="9" t="s">
        <v>30</v>
      </c>
      <c r="F21" s="9"/>
      <c r="G21" s="9"/>
      <c r="H21" s="9"/>
      <c r="I21" s="9"/>
    </row>
  </sheetData>
  <mergeCells count="31">
    <mergeCell ref="B2:I2"/>
    <mergeCell ref="B3:I3"/>
    <mergeCell ref="B4:I4"/>
    <mergeCell ref="B6:I6"/>
    <mergeCell ref="B7:C7"/>
    <mergeCell ref="D7:I7"/>
    <mergeCell ref="B8:C8"/>
    <mergeCell ref="D8:I8"/>
    <mergeCell ref="B9:C9"/>
    <mergeCell ref="D9:I9"/>
    <mergeCell ref="B10:C10"/>
    <mergeCell ref="D10:I10"/>
    <mergeCell ref="B11:C11"/>
    <mergeCell ref="D11:I11"/>
    <mergeCell ref="B12:C12"/>
    <mergeCell ref="D12:I12"/>
    <mergeCell ref="B14:I14"/>
    <mergeCell ref="B15:D15"/>
    <mergeCell ref="E15:I15"/>
    <mergeCell ref="B16:D16"/>
    <mergeCell ref="E16:I16"/>
    <mergeCell ref="B17:D17"/>
    <mergeCell ref="E17:I17"/>
    <mergeCell ref="B18:D18"/>
    <mergeCell ref="E18:I18"/>
    <mergeCell ref="B19:D19"/>
    <mergeCell ref="E19:I19"/>
    <mergeCell ref="B20:D20"/>
    <mergeCell ref="E20:I20"/>
    <mergeCell ref="B21:D21"/>
    <mergeCell ref="E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10"/>
    <col collapsed="false" customWidth="true" hidden="false" outlineLevel="0" max="4" min="4" style="1" width="13"/>
    <col collapsed="false" customWidth="true" hidden="false" outlineLevel="0" max="5" min="5" style="1" width="18"/>
    <col collapsed="false" customWidth="true" hidden="false" outlineLevel="0" max="6" min="6" style="1" width="10"/>
    <col collapsed="false" customWidth="true" hidden="false" outlineLevel="0" max="8" min="7" style="1" width="14"/>
    <col collapsed="false" customWidth="true" hidden="false" outlineLevel="0" max="9" min="9" style="1" width="11"/>
    <col collapsed="false" customWidth="true" hidden="false" outlineLevel="0" max="10" min="10" style="1" width="14"/>
    <col collapsed="false" customWidth="true" hidden="false" outlineLevel="0" max="11" min="11" style="1" width="8"/>
    <col collapsed="false" customWidth="true" hidden="false" outlineLevel="0" max="13" min="12" style="1" width="9"/>
  </cols>
  <sheetData>
    <row r="1" customFormat="false" ht="27.75" hidden="false" customHeight="true" outlineLevel="0" collapsed="false">
      <c r="A1" s="11" t="s">
        <v>31</v>
      </c>
      <c r="B1" s="11" t="s">
        <v>32</v>
      </c>
      <c r="C1" s="11" t="s">
        <v>33</v>
      </c>
      <c r="D1" s="11" t="s">
        <v>34</v>
      </c>
      <c r="E1" s="11" t="s">
        <v>35</v>
      </c>
      <c r="F1" s="11" t="s">
        <v>36</v>
      </c>
      <c r="G1" s="11" t="s">
        <v>37</v>
      </c>
      <c r="H1" s="11" t="s">
        <v>38</v>
      </c>
      <c r="I1" s="11" t="s">
        <v>39</v>
      </c>
      <c r="J1" s="11" t="s">
        <v>40</v>
      </c>
      <c r="K1" s="11" t="s">
        <v>41</v>
      </c>
      <c r="L1" s="11" t="s">
        <v>42</v>
      </c>
      <c r="M1" s="11" t="s">
        <v>43</v>
      </c>
    </row>
    <row r="2" customFormat="false" ht="15" hidden="false" customHeight="true" outlineLevel="0" collapsed="false">
      <c r="A2" s="12" t="s">
        <v>44</v>
      </c>
      <c r="B2" s="13" t="s">
        <v>45</v>
      </c>
      <c r="C2" s="12" t="s">
        <v>46</v>
      </c>
      <c r="D2" s="13" t="s">
        <v>47</v>
      </c>
      <c r="E2" s="13" t="s">
        <v>48</v>
      </c>
      <c r="F2" s="12" t="n">
        <v>135</v>
      </c>
      <c r="G2" s="14" t="n">
        <v>750</v>
      </c>
      <c r="H2" s="14" t="n">
        <v>101250</v>
      </c>
      <c r="I2" s="15" t="n">
        <v>2</v>
      </c>
      <c r="J2" s="16" t="n">
        <f aca="false">H2*(1-I2/100)</f>
        <v>99225</v>
      </c>
      <c r="K2" s="12" t="n">
        <v>12</v>
      </c>
      <c r="L2" s="12" t="s">
        <v>49</v>
      </c>
      <c r="M2" s="12" t="s">
        <v>50</v>
      </c>
    </row>
    <row r="3" customFormat="false" ht="15" hidden="false" customHeight="true" outlineLevel="0" collapsed="false">
      <c r="A3" s="17" t="s">
        <v>51</v>
      </c>
      <c r="B3" s="18" t="s">
        <v>52</v>
      </c>
      <c r="C3" s="17" t="s">
        <v>46</v>
      </c>
      <c r="D3" s="18" t="s">
        <v>53</v>
      </c>
      <c r="E3" s="18" t="s">
        <v>54</v>
      </c>
      <c r="F3" s="17" t="n">
        <v>26</v>
      </c>
      <c r="G3" s="19" t="n">
        <v>250</v>
      </c>
      <c r="H3" s="19" t="n">
        <v>6500</v>
      </c>
      <c r="I3" s="20" t="n">
        <v>0</v>
      </c>
      <c r="J3" s="21" t="n">
        <f aca="false">H3*(1-I3/100)</f>
        <v>6500</v>
      </c>
      <c r="K3" s="17" t="n">
        <v>4</v>
      </c>
      <c r="L3" s="17" t="s">
        <v>55</v>
      </c>
      <c r="M3" s="17" t="s">
        <v>50</v>
      </c>
    </row>
    <row r="4" customFormat="false" ht="15" hidden="false" customHeight="true" outlineLevel="0" collapsed="false">
      <c r="A4" s="12" t="s">
        <v>56</v>
      </c>
      <c r="B4" s="13" t="s">
        <v>57</v>
      </c>
      <c r="C4" s="12" t="s">
        <v>58</v>
      </c>
      <c r="D4" s="13" t="s">
        <v>59</v>
      </c>
      <c r="E4" s="13" t="s">
        <v>60</v>
      </c>
      <c r="F4" s="12" t="n">
        <v>111</v>
      </c>
      <c r="G4" s="14" t="n">
        <v>5000</v>
      </c>
      <c r="H4" s="14" t="n">
        <v>555000</v>
      </c>
      <c r="I4" s="15" t="n">
        <v>8</v>
      </c>
      <c r="J4" s="16" t="n">
        <f aca="false">H4*(1-I4/100)</f>
        <v>510600</v>
      </c>
      <c r="K4" s="12" t="n">
        <v>4</v>
      </c>
      <c r="L4" s="12" t="s">
        <v>55</v>
      </c>
      <c r="M4" s="12" t="s">
        <v>61</v>
      </c>
    </row>
    <row r="5" customFormat="false" ht="15" hidden="false" customHeight="true" outlineLevel="0" collapsed="false">
      <c r="A5" s="17" t="s">
        <v>62</v>
      </c>
      <c r="B5" s="18" t="s">
        <v>63</v>
      </c>
      <c r="C5" s="17" t="s">
        <v>46</v>
      </c>
      <c r="D5" s="18" t="s">
        <v>64</v>
      </c>
      <c r="E5" s="18" t="s">
        <v>65</v>
      </c>
      <c r="F5" s="17" t="n">
        <v>226</v>
      </c>
      <c r="G5" s="19" t="n">
        <v>1500</v>
      </c>
      <c r="H5" s="19" t="n">
        <v>339000</v>
      </c>
      <c r="I5" s="20" t="n">
        <v>5</v>
      </c>
      <c r="J5" s="21" t="n">
        <f aca="false">H5*(1-I5/100)</f>
        <v>322050</v>
      </c>
      <c r="K5" s="17" t="n">
        <v>3</v>
      </c>
      <c r="L5" s="17" t="s">
        <v>66</v>
      </c>
      <c r="M5" s="17" t="s">
        <v>50</v>
      </c>
    </row>
    <row r="6" customFormat="false" ht="15" hidden="false" customHeight="true" outlineLevel="0" collapsed="false">
      <c r="A6" s="12" t="s">
        <v>67</v>
      </c>
      <c r="B6" s="13" t="s">
        <v>68</v>
      </c>
      <c r="C6" s="12" t="s">
        <v>46</v>
      </c>
      <c r="D6" s="13" t="s">
        <v>59</v>
      </c>
      <c r="E6" s="13" t="s">
        <v>69</v>
      </c>
      <c r="F6" s="12" t="n">
        <v>59</v>
      </c>
      <c r="G6" s="14" t="n">
        <v>1500</v>
      </c>
      <c r="H6" s="14" t="n">
        <v>88500</v>
      </c>
      <c r="I6" s="15" t="n">
        <v>15</v>
      </c>
      <c r="J6" s="16" t="n">
        <f aca="false">H6*(1-I6/100)</f>
        <v>75225</v>
      </c>
      <c r="K6" s="12" t="n">
        <v>6</v>
      </c>
      <c r="L6" s="12" t="s">
        <v>55</v>
      </c>
      <c r="M6" s="12" t="s">
        <v>61</v>
      </c>
    </row>
    <row r="7" customFormat="false" ht="15" hidden="false" customHeight="true" outlineLevel="0" collapsed="false">
      <c r="A7" s="17" t="s">
        <v>70</v>
      </c>
      <c r="B7" s="18" t="s">
        <v>71</v>
      </c>
      <c r="C7" s="17" t="s">
        <v>72</v>
      </c>
      <c r="D7" s="18" t="s">
        <v>53</v>
      </c>
      <c r="E7" s="18" t="s">
        <v>73</v>
      </c>
      <c r="F7" s="17" t="n">
        <v>482</v>
      </c>
      <c r="G7" s="19" t="n">
        <v>2000</v>
      </c>
      <c r="H7" s="19" t="n">
        <v>964000</v>
      </c>
      <c r="I7" s="20" t="n">
        <v>0</v>
      </c>
      <c r="J7" s="21" t="n">
        <f aca="false">H7*(1-I7/100)</f>
        <v>964000</v>
      </c>
      <c r="K7" s="17" t="n">
        <v>9</v>
      </c>
      <c r="L7" s="17" t="s">
        <v>74</v>
      </c>
      <c r="M7" s="17" t="s">
        <v>61</v>
      </c>
    </row>
    <row r="8" customFormat="false" ht="15" hidden="false" customHeight="true" outlineLevel="0" collapsed="false">
      <c r="A8" s="12" t="s">
        <v>75</v>
      </c>
      <c r="B8" s="13" t="s">
        <v>76</v>
      </c>
      <c r="C8" s="12" t="s">
        <v>58</v>
      </c>
      <c r="D8" s="13" t="s">
        <v>64</v>
      </c>
      <c r="E8" s="13" t="s">
        <v>65</v>
      </c>
      <c r="F8" s="12" t="n">
        <v>45</v>
      </c>
      <c r="G8" s="14" t="n">
        <v>250</v>
      </c>
      <c r="H8" s="14" t="n">
        <v>11250</v>
      </c>
      <c r="I8" s="15" t="n">
        <v>12</v>
      </c>
      <c r="J8" s="16" t="n">
        <f aca="false">H8*(1-I8/100)</f>
        <v>9900</v>
      </c>
      <c r="K8" s="12" t="n">
        <v>4</v>
      </c>
      <c r="L8" s="12" t="s">
        <v>55</v>
      </c>
      <c r="M8" s="12" t="s">
        <v>61</v>
      </c>
    </row>
    <row r="9" customFormat="false" ht="15" hidden="false" customHeight="true" outlineLevel="0" collapsed="false">
      <c r="A9" s="17" t="s">
        <v>77</v>
      </c>
      <c r="B9" s="18" t="s">
        <v>78</v>
      </c>
      <c r="C9" s="17" t="s">
        <v>79</v>
      </c>
      <c r="D9" s="18" t="s">
        <v>59</v>
      </c>
      <c r="E9" s="18" t="s">
        <v>69</v>
      </c>
      <c r="F9" s="17" t="n">
        <v>152</v>
      </c>
      <c r="G9" s="19" t="n">
        <v>3000</v>
      </c>
      <c r="H9" s="19" t="n">
        <v>456000</v>
      </c>
      <c r="I9" s="20" t="n">
        <v>12</v>
      </c>
      <c r="J9" s="21" t="n">
        <f aca="false">H9*(1-I9/100)</f>
        <v>401280</v>
      </c>
      <c r="K9" s="17" t="n">
        <v>6</v>
      </c>
      <c r="L9" s="17" t="s">
        <v>55</v>
      </c>
      <c r="M9" s="17" t="s">
        <v>50</v>
      </c>
    </row>
    <row r="10" customFormat="false" ht="15" hidden="false" customHeight="true" outlineLevel="0" collapsed="false">
      <c r="A10" s="12" t="s">
        <v>80</v>
      </c>
      <c r="B10" s="13" t="s">
        <v>76</v>
      </c>
      <c r="C10" s="12" t="s">
        <v>81</v>
      </c>
      <c r="D10" s="13" t="s">
        <v>64</v>
      </c>
      <c r="E10" s="13" t="s">
        <v>65</v>
      </c>
      <c r="F10" s="12" t="n">
        <v>146</v>
      </c>
      <c r="G10" s="14" t="n">
        <v>350</v>
      </c>
      <c r="H10" s="14" t="n">
        <v>51100</v>
      </c>
      <c r="I10" s="15" t="n">
        <v>10</v>
      </c>
      <c r="J10" s="16" t="n">
        <f aca="false">H10*(1-I10/100)</f>
        <v>45990</v>
      </c>
      <c r="K10" s="12" t="n">
        <v>11</v>
      </c>
      <c r="L10" s="12" t="s">
        <v>49</v>
      </c>
      <c r="M10" s="12" t="s">
        <v>50</v>
      </c>
    </row>
    <row r="11" customFormat="false" ht="15" hidden="false" customHeight="true" outlineLevel="0" collapsed="false">
      <c r="A11" s="17" t="s">
        <v>82</v>
      </c>
      <c r="B11" s="18" t="s">
        <v>52</v>
      </c>
      <c r="C11" s="17" t="s">
        <v>79</v>
      </c>
      <c r="D11" s="18" t="s">
        <v>64</v>
      </c>
      <c r="E11" s="18" t="s">
        <v>83</v>
      </c>
      <c r="F11" s="17" t="n">
        <v>204</v>
      </c>
      <c r="G11" s="19" t="n">
        <v>1000</v>
      </c>
      <c r="H11" s="19" t="n">
        <v>204000</v>
      </c>
      <c r="I11" s="20" t="n">
        <v>12</v>
      </c>
      <c r="J11" s="21" t="n">
        <f aca="false">H11*(1-I11/100)</f>
        <v>179520</v>
      </c>
      <c r="K11" s="17" t="n">
        <v>12</v>
      </c>
      <c r="L11" s="17" t="s">
        <v>49</v>
      </c>
      <c r="M11" s="17" t="s">
        <v>50</v>
      </c>
    </row>
    <row r="12" customFormat="false" ht="15" hidden="false" customHeight="true" outlineLevel="0" collapsed="false">
      <c r="A12" s="12" t="s">
        <v>84</v>
      </c>
      <c r="B12" s="13" t="s">
        <v>68</v>
      </c>
      <c r="C12" s="12" t="s">
        <v>46</v>
      </c>
      <c r="D12" s="13" t="s">
        <v>64</v>
      </c>
      <c r="E12" s="13" t="s">
        <v>85</v>
      </c>
      <c r="F12" s="12" t="n">
        <v>422</v>
      </c>
      <c r="G12" s="14" t="n">
        <v>1500</v>
      </c>
      <c r="H12" s="14" t="n">
        <v>633000</v>
      </c>
      <c r="I12" s="15" t="n">
        <v>8</v>
      </c>
      <c r="J12" s="16" t="n">
        <f aca="false">H12*(1-I12/100)</f>
        <v>582360</v>
      </c>
      <c r="K12" s="12" t="n">
        <v>5</v>
      </c>
      <c r="L12" s="12" t="s">
        <v>55</v>
      </c>
      <c r="M12" s="12" t="s">
        <v>50</v>
      </c>
    </row>
    <row r="13" customFormat="false" ht="15" hidden="false" customHeight="true" outlineLevel="0" collapsed="false">
      <c r="A13" s="17" t="s">
        <v>86</v>
      </c>
      <c r="B13" s="18" t="s">
        <v>87</v>
      </c>
      <c r="C13" s="17" t="s">
        <v>58</v>
      </c>
      <c r="D13" s="18" t="s">
        <v>47</v>
      </c>
      <c r="E13" s="18" t="s">
        <v>48</v>
      </c>
      <c r="F13" s="17" t="n">
        <v>118</v>
      </c>
      <c r="G13" s="19" t="n">
        <v>3000</v>
      </c>
      <c r="H13" s="19" t="n">
        <v>354000</v>
      </c>
      <c r="I13" s="20" t="n">
        <v>8</v>
      </c>
      <c r="J13" s="21" t="n">
        <f aca="false">H13*(1-I13/100)</f>
        <v>325680</v>
      </c>
      <c r="K13" s="17" t="n">
        <v>11</v>
      </c>
      <c r="L13" s="17" t="s">
        <v>49</v>
      </c>
      <c r="M13" s="17" t="s">
        <v>61</v>
      </c>
    </row>
    <row r="14" customFormat="false" ht="15" hidden="false" customHeight="true" outlineLevel="0" collapsed="false">
      <c r="A14" s="12" t="s">
        <v>88</v>
      </c>
      <c r="B14" s="13" t="s">
        <v>89</v>
      </c>
      <c r="C14" s="12" t="s">
        <v>81</v>
      </c>
      <c r="D14" s="13" t="s">
        <v>64</v>
      </c>
      <c r="E14" s="13" t="s">
        <v>85</v>
      </c>
      <c r="F14" s="12" t="n">
        <v>391</v>
      </c>
      <c r="G14" s="14" t="n">
        <v>5000</v>
      </c>
      <c r="H14" s="14" t="n">
        <v>1955000</v>
      </c>
      <c r="I14" s="15" t="n">
        <v>10</v>
      </c>
      <c r="J14" s="16" t="n">
        <f aca="false">H14*(1-I14/100)</f>
        <v>1759500</v>
      </c>
      <c r="K14" s="12" t="n">
        <v>5</v>
      </c>
      <c r="L14" s="12" t="s">
        <v>55</v>
      </c>
      <c r="M14" s="12" t="s">
        <v>61</v>
      </c>
    </row>
    <row r="15" customFormat="false" ht="15" hidden="false" customHeight="true" outlineLevel="0" collapsed="false">
      <c r="A15" s="17" t="s">
        <v>90</v>
      </c>
      <c r="B15" s="18" t="s">
        <v>91</v>
      </c>
      <c r="C15" s="17" t="s">
        <v>81</v>
      </c>
      <c r="D15" s="18" t="s">
        <v>64</v>
      </c>
      <c r="E15" s="18" t="s">
        <v>85</v>
      </c>
      <c r="F15" s="17" t="n">
        <v>270</v>
      </c>
      <c r="G15" s="19" t="n">
        <v>3000</v>
      </c>
      <c r="H15" s="19" t="n">
        <v>810000</v>
      </c>
      <c r="I15" s="20" t="n">
        <v>0</v>
      </c>
      <c r="J15" s="21" t="n">
        <f aca="false">H15*(1-I15/100)</f>
        <v>810000</v>
      </c>
      <c r="K15" s="17" t="n">
        <v>1</v>
      </c>
      <c r="L15" s="17" t="s">
        <v>66</v>
      </c>
      <c r="M15" s="17" t="s">
        <v>50</v>
      </c>
    </row>
    <row r="16" customFormat="false" ht="15" hidden="false" customHeight="true" outlineLevel="0" collapsed="false">
      <c r="A16" s="12" t="s">
        <v>92</v>
      </c>
      <c r="B16" s="13" t="s">
        <v>89</v>
      </c>
      <c r="C16" s="12" t="s">
        <v>79</v>
      </c>
      <c r="D16" s="13" t="s">
        <v>47</v>
      </c>
      <c r="E16" s="13" t="s">
        <v>48</v>
      </c>
      <c r="F16" s="12" t="n">
        <v>315</v>
      </c>
      <c r="G16" s="14" t="n">
        <v>350</v>
      </c>
      <c r="H16" s="14" t="n">
        <v>110250</v>
      </c>
      <c r="I16" s="15" t="n">
        <v>8</v>
      </c>
      <c r="J16" s="16" t="n">
        <f aca="false">H16*(1-I16/100)</f>
        <v>101430</v>
      </c>
      <c r="K16" s="12" t="n">
        <v>7</v>
      </c>
      <c r="L16" s="12" t="s">
        <v>74</v>
      </c>
      <c r="M16" s="12" t="s">
        <v>61</v>
      </c>
    </row>
    <row r="17" customFormat="false" ht="15" hidden="false" customHeight="true" outlineLevel="0" collapsed="false">
      <c r="A17" s="17" t="s">
        <v>93</v>
      </c>
      <c r="B17" s="18" t="s">
        <v>57</v>
      </c>
      <c r="C17" s="17" t="s">
        <v>81</v>
      </c>
      <c r="D17" s="18" t="s">
        <v>53</v>
      </c>
      <c r="E17" s="18" t="s">
        <v>73</v>
      </c>
      <c r="F17" s="17" t="n">
        <v>358</v>
      </c>
      <c r="G17" s="19" t="n">
        <v>350</v>
      </c>
      <c r="H17" s="19" t="n">
        <v>125300</v>
      </c>
      <c r="I17" s="20" t="n">
        <v>12</v>
      </c>
      <c r="J17" s="21" t="n">
        <f aca="false">H17*(1-I17/100)</f>
        <v>110264</v>
      </c>
      <c r="K17" s="17" t="n">
        <v>9</v>
      </c>
      <c r="L17" s="17" t="s">
        <v>74</v>
      </c>
      <c r="M17" s="17" t="s">
        <v>61</v>
      </c>
    </row>
    <row r="18" customFormat="false" ht="15" hidden="false" customHeight="true" outlineLevel="0" collapsed="false">
      <c r="A18" s="12" t="s">
        <v>94</v>
      </c>
      <c r="B18" s="13" t="s">
        <v>68</v>
      </c>
      <c r="C18" s="12" t="s">
        <v>46</v>
      </c>
      <c r="D18" s="13" t="s">
        <v>95</v>
      </c>
      <c r="E18" s="13" t="s">
        <v>96</v>
      </c>
      <c r="F18" s="12" t="n">
        <v>90</v>
      </c>
      <c r="G18" s="14" t="n">
        <v>3000</v>
      </c>
      <c r="H18" s="14" t="n">
        <v>270000</v>
      </c>
      <c r="I18" s="15" t="n">
        <v>0</v>
      </c>
      <c r="J18" s="16" t="n">
        <f aca="false">H18*(1-I18/100)</f>
        <v>270000</v>
      </c>
      <c r="K18" s="12" t="n">
        <v>12</v>
      </c>
      <c r="L18" s="12" t="s">
        <v>49</v>
      </c>
      <c r="M18" s="12" t="s">
        <v>61</v>
      </c>
    </row>
    <row r="19" customFormat="false" ht="15" hidden="false" customHeight="true" outlineLevel="0" collapsed="false">
      <c r="A19" s="17" t="s">
        <v>97</v>
      </c>
      <c r="B19" s="18" t="s">
        <v>57</v>
      </c>
      <c r="C19" s="17" t="s">
        <v>79</v>
      </c>
      <c r="D19" s="18" t="s">
        <v>53</v>
      </c>
      <c r="E19" s="18" t="s">
        <v>73</v>
      </c>
      <c r="F19" s="17" t="n">
        <v>455</v>
      </c>
      <c r="G19" s="19" t="n">
        <v>1000</v>
      </c>
      <c r="H19" s="19" t="n">
        <v>455000</v>
      </c>
      <c r="I19" s="20" t="n">
        <v>15</v>
      </c>
      <c r="J19" s="21" t="n">
        <f aca="false">H19*(1-I19/100)</f>
        <v>386750</v>
      </c>
      <c r="K19" s="17" t="n">
        <v>11</v>
      </c>
      <c r="L19" s="17" t="s">
        <v>49</v>
      </c>
      <c r="M19" s="17" t="s">
        <v>50</v>
      </c>
    </row>
    <row r="20" customFormat="false" ht="15" hidden="false" customHeight="true" outlineLevel="0" collapsed="false">
      <c r="A20" s="12" t="s">
        <v>98</v>
      </c>
      <c r="B20" s="13" t="s">
        <v>89</v>
      </c>
      <c r="C20" s="12" t="s">
        <v>81</v>
      </c>
      <c r="D20" s="13" t="s">
        <v>64</v>
      </c>
      <c r="E20" s="13" t="s">
        <v>65</v>
      </c>
      <c r="F20" s="12" t="n">
        <v>498</v>
      </c>
      <c r="G20" s="14" t="n">
        <v>5000</v>
      </c>
      <c r="H20" s="14" t="n">
        <v>2490000</v>
      </c>
      <c r="I20" s="15" t="n">
        <v>0</v>
      </c>
      <c r="J20" s="16" t="n">
        <f aca="false">H20*(1-I20/100)</f>
        <v>2490000</v>
      </c>
      <c r="K20" s="12" t="n">
        <v>10</v>
      </c>
      <c r="L20" s="12" t="s">
        <v>49</v>
      </c>
      <c r="M20" s="12" t="s">
        <v>61</v>
      </c>
    </row>
    <row r="21" customFormat="false" ht="15" hidden="false" customHeight="true" outlineLevel="0" collapsed="false">
      <c r="A21" s="17" t="s">
        <v>99</v>
      </c>
      <c r="B21" s="18" t="s">
        <v>100</v>
      </c>
      <c r="C21" s="17" t="s">
        <v>46</v>
      </c>
      <c r="D21" s="18" t="s">
        <v>59</v>
      </c>
      <c r="E21" s="18" t="s">
        <v>69</v>
      </c>
      <c r="F21" s="17" t="n">
        <v>459</v>
      </c>
      <c r="G21" s="19" t="n">
        <v>1000</v>
      </c>
      <c r="H21" s="19" t="n">
        <v>459000</v>
      </c>
      <c r="I21" s="20" t="n">
        <v>2</v>
      </c>
      <c r="J21" s="21" t="n">
        <f aca="false">H21*(1-I21/100)</f>
        <v>449820</v>
      </c>
      <c r="K21" s="17" t="n">
        <v>1</v>
      </c>
      <c r="L21" s="17" t="s">
        <v>66</v>
      </c>
      <c r="M21" s="17" t="s">
        <v>50</v>
      </c>
    </row>
    <row r="22" customFormat="false" ht="15" hidden="false" customHeight="true" outlineLevel="0" collapsed="false">
      <c r="A22" s="12" t="s">
        <v>101</v>
      </c>
      <c r="B22" s="13" t="s">
        <v>78</v>
      </c>
      <c r="C22" s="12" t="s">
        <v>46</v>
      </c>
      <c r="D22" s="13" t="s">
        <v>47</v>
      </c>
      <c r="E22" s="13" t="s">
        <v>48</v>
      </c>
      <c r="F22" s="12" t="n">
        <v>427</v>
      </c>
      <c r="G22" s="14" t="n">
        <v>350</v>
      </c>
      <c r="H22" s="14" t="n">
        <v>149450</v>
      </c>
      <c r="I22" s="15" t="n">
        <v>15</v>
      </c>
      <c r="J22" s="16" t="n">
        <f aca="false">H22*(1-I22/100)</f>
        <v>127032.5</v>
      </c>
      <c r="K22" s="12" t="n">
        <v>9</v>
      </c>
      <c r="L22" s="12" t="s">
        <v>74</v>
      </c>
      <c r="M22" s="12" t="s">
        <v>50</v>
      </c>
    </row>
    <row r="23" customFormat="false" ht="15" hidden="false" customHeight="true" outlineLevel="0" collapsed="false">
      <c r="A23" s="17" t="s">
        <v>102</v>
      </c>
      <c r="B23" s="18" t="s">
        <v>89</v>
      </c>
      <c r="C23" s="17" t="s">
        <v>72</v>
      </c>
      <c r="D23" s="18" t="s">
        <v>53</v>
      </c>
      <c r="E23" s="18" t="s">
        <v>73</v>
      </c>
      <c r="F23" s="17" t="n">
        <v>145</v>
      </c>
      <c r="G23" s="19" t="n">
        <v>5000</v>
      </c>
      <c r="H23" s="19" t="n">
        <v>725000</v>
      </c>
      <c r="I23" s="20" t="n">
        <v>15</v>
      </c>
      <c r="J23" s="21" t="n">
        <f aca="false">H23*(1-I23/100)</f>
        <v>616250</v>
      </c>
      <c r="K23" s="17" t="n">
        <v>10</v>
      </c>
      <c r="L23" s="17" t="s">
        <v>49</v>
      </c>
      <c r="M23" s="17" t="s">
        <v>61</v>
      </c>
    </row>
    <row r="24" customFormat="false" ht="15" hidden="false" customHeight="true" outlineLevel="0" collapsed="false">
      <c r="A24" s="12" t="s">
        <v>103</v>
      </c>
      <c r="B24" s="13" t="s">
        <v>87</v>
      </c>
      <c r="C24" s="12" t="s">
        <v>58</v>
      </c>
      <c r="D24" s="13" t="s">
        <v>47</v>
      </c>
      <c r="E24" s="13" t="s">
        <v>104</v>
      </c>
      <c r="F24" s="12" t="n">
        <v>112</v>
      </c>
      <c r="G24" s="14" t="n">
        <v>1000</v>
      </c>
      <c r="H24" s="14" t="n">
        <v>112000</v>
      </c>
      <c r="I24" s="15" t="n">
        <v>8</v>
      </c>
      <c r="J24" s="16" t="n">
        <f aca="false">H24*(1-I24/100)</f>
        <v>103040</v>
      </c>
      <c r="K24" s="12" t="n">
        <v>11</v>
      </c>
      <c r="L24" s="12" t="s">
        <v>49</v>
      </c>
      <c r="M24" s="12" t="s">
        <v>61</v>
      </c>
    </row>
    <row r="25" customFormat="false" ht="15" hidden="false" customHeight="true" outlineLevel="0" collapsed="false">
      <c r="A25" s="17" t="s">
        <v>105</v>
      </c>
      <c r="B25" s="18" t="s">
        <v>106</v>
      </c>
      <c r="C25" s="17" t="s">
        <v>58</v>
      </c>
      <c r="D25" s="18" t="s">
        <v>107</v>
      </c>
      <c r="E25" s="18" t="s">
        <v>108</v>
      </c>
      <c r="F25" s="17" t="n">
        <v>136</v>
      </c>
      <c r="G25" s="19" t="n">
        <v>750</v>
      </c>
      <c r="H25" s="19" t="n">
        <v>102000</v>
      </c>
      <c r="I25" s="20" t="n">
        <v>0</v>
      </c>
      <c r="J25" s="21" t="n">
        <f aca="false">H25*(1-I25/100)</f>
        <v>102000</v>
      </c>
      <c r="K25" s="17" t="n">
        <v>6</v>
      </c>
      <c r="L25" s="17" t="s">
        <v>55</v>
      </c>
      <c r="M25" s="17" t="s">
        <v>50</v>
      </c>
    </row>
    <row r="26" customFormat="false" ht="15" hidden="false" customHeight="true" outlineLevel="0" collapsed="false">
      <c r="A26" s="12" t="s">
        <v>109</v>
      </c>
      <c r="B26" s="13" t="s">
        <v>52</v>
      </c>
      <c r="C26" s="12" t="s">
        <v>79</v>
      </c>
      <c r="D26" s="13" t="s">
        <v>53</v>
      </c>
      <c r="E26" s="13" t="s">
        <v>73</v>
      </c>
      <c r="F26" s="12" t="n">
        <v>13</v>
      </c>
      <c r="G26" s="14" t="n">
        <v>350</v>
      </c>
      <c r="H26" s="14" t="n">
        <v>4550</v>
      </c>
      <c r="I26" s="15" t="n">
        <v>12</v>
      </c>
      <c r="J26" s="16" t="n">
        <f aca="false">H26*(1-I26/100)</f>
        <v>4004</v>
      </c>
      <c r="K26" s="12" t="n">
        <v>11</v>
      </c>
      <c r="L26" s="12" t="s">
        <v>49</v>
      </c>
      <c r="M26" s="12" t="s">
        <v>50</v>
      </c>
    </row>
    <row r="27" customFormat="false" ht="15" hidden="false" customHeight="true" outlineLevel="0" collapsed="false">
      <c r="A27" s="17" t="s">
        <v>110</v>
      </c>
      <c r="B27" s="18" t="s">
        <v>111</v>
      </c>
      <c r="C27" s="17" t="s">
        <v>46</v>
      </c>
      <c r="D27" s="18" t="s">
        <v>59</v>
      </c>
      <c r="E27" s="18" t="s">
        <v>69</v>
      </c>
      <c r="F27" s="17" t="n">
        <v>46</v>
      </c>
      <c r="G27" s="19" t="n">
        <v>5000</v>
      </c>
      <c r="H27" s="19" t="n">
        <v>230000</v>
      </c>
      <c r="I27" s="20" t="n">
        <v>2</v>
      </c>
      <c r="J27" s="21" t="n">
        <f aca="false">H27*(1-I27/100)</f>
        <v>225400</v>
      </c>
      <c r="K27" s="17" t="n">
        <v>5</v>
      </c>
      <c r="L27" s="17" t="s">
        <v>55</v>
      </c>
      <c r="M27" s="17" t="s">
        <v>61</v>
      </c>
    </row>
    <row r="28" customFormat="false" ht="15" hidden="false" customHeight="true" outlineLevel="0" collapsed="false">
      <c r="A28" s="12" t="s">
        <v>112</v>
      </c>
      <c r="B28" s="13" t="s">
        <v>87</v>
      </c>
      <c r="C28" s="12" t="s">
        <v>58</v>
      </c>
      <c r="D28" s="13" t="s">
        <v>64</v>
      </c>
      <c r="E28" s="13" t="s">
        <v>65</v>
      </c>
      <c r="F28" s="12" t="n">
        <v>488</v>
      </c>
      <c r="G28" s="14" t="n">
        <v>3000</v>
      </c>
      <c r="H28" s="14" t="n">
        <v>1464000</v>
      </c>
      <c r="I28" s="15" t="n">
        <v>2</v>
      </c>
      <c r="J28" s="16" t="n">
        <f aca="false">H28*(1-I28/100)</f>
        <v>1434720</v>
      </c>
      <c r="K28" s="12" t="n">
        <v>8</v>
      </c>
      <c r="L28" s="12" t="s">
        <v>74</v>
      </c>
      <c r="M28" s="12" t="s">
        <v>61</v>
      </c>
    </row>
    <row r="29" customFormat="false" ht="15" hidden="false" customHeight="true" outlineLevel="0" collapsed="false">
      <c r="A29" s="17" t="s">
        <v>113</v>
      </c>
      <c r="B29" s="18" t="s">
        <v>87</v>
      </c>
      <c r="C29" s="17" t="s">
        <v>46</v>
      </c>
      <c r="D29" s="18" t="s">
        <v>59</v>
      </c>
      <c r="E29" s="18" t="s">
        <v>60</v>
      </c>
      <c r="F29" s="17" t="n">
        <v>230</v>
      </c>
      <c r="G29" s="19" t="n">
        <v>1500</v>
      </c>
      <c r="H29" s="19" t="n">
        <v>345000</v>
      </c>
      <c r="I29" s="20" t="n">
        <v>8</v>
      </c>
      <c r="J29" s="21" t="n">
        <f aca="false">H29*(1-I29/100)</f>
        <v>317400</v>
      </c>
      <c r="K29" s="17" t="n">
        <v>7</v>
      </c>
      <c r="L29" s="17" t="s">
        <v>74</v>
      </c>
      <c r="M29" s="17" t="s">
        <v>61</v>
      </c>
    </row>
    <row r="30" customFormat="false" ht="15" hidden="false" customHeight="true" outlineLevel="0" collapsed="false">
      <c r="A30" s="12" t="s">
        <v>114</v>
      </c>
      <c r="B30" s="13" t="s">
        <v>71</v>
      </c>
      <c r="C30" s="12" t="s">
        <v>46</v>
      </c>
      <c r="D30" s="13" t="s">
        <v>59</v>
      </c>
      <c r="E30" s="13" t="s">
        <v>69</v>
      </c>
      <c r="F30" s="12" t="n">
        <v>382</v>
      </c>
      <c r="G30" s="14" t="n">
        <v>1500</v>
      </c>
      <c r="H30" s="14" t="n">
        <v>573000</v>
      </c>
      <c r="I30" s="15" t="n">
        <v>15</v>
      </c>
      <c r="J30" s="16" t="n">
        <f aca="false">H30*(1-I30/100)</f>
        <v>487050</v>
      </c>
      <c r="K30" s="12" t="n">
        <v>2</v>
      </c>
      <c r="L30" s="12" t="s">
        <v>66</v>
      </c>
      <c r="M30" s="12" t="s">
        <v>50</v>
      </c>
    </row>
    <row r="31" customFormat="false" ht="15" hidden="false" customHeight="true" outlineLevel="0" collapsed="false">
      <c r="A31" s="17" t="s">
        <v>115</v>
      </c>
      <c r="B31" s="18" t="s">
        <v>87</v>
      </c>
      <c r="C31" s="17" t="s">
        <v>79</v>
      </c>
      <c r="D31" s="18" t="s">
        <v>53</v>
      </c>
      <c r="E31" s="18" t="s">
        <v>54</v>
      </c>
      <c r="F31" s="17" t="n">
        <v>81</v>
      </c>
      <c r="G31" s="19" t="n">
        <v>2000</v>
      </c>
      <c r="H31" s="19" t="n">
        <v>162000</v>
      </c>
      <c r="I31" s="20" t="n">
        <v>2</v>
      </c>
      <c r="J31" s="21" t="n">
        <f aca="false">H31*(1-I31/100)</f>
        <v>158760</v>
      </c>
      <c r="K31" s="17" t="n">
        <v>5</v>
      </c>
      <c r="L31" s="17" t="s">
        <v>55</v>
      </c>
      <c r="M31" s="17" t="s">
        <v>61</v>
      </c>
    </row>
    <row r="32" customFormat="false" ht="15" hidden="false" customHeight="true" outlineLevel="0" collapsed="false">
      <c r="A32" s="12" t="s">
        <v>116</v>
      </c>
      <c r="B32" s="13" t="s">
        <v>111</v>
      </c>
      <c r="C32" s="12" t="s">
        <v>46</v>
      </c>
      <c r="D32" s="13" t="s">
        <v>107</v>
      </c>
      <c r="E32" s="13" t="s">
        <v>117</v>
      </c>
      <c r="F32" s="12" t="n">
        <v>60</v>
      </c>
      <c r="G32" s="14" t="n">
        <v>250</v>
      </c>
      <c r="H32" s="14" t="n">
        <v>15000</v>
      </c>
      <c r="I32" s="15" t="n">
        <v>12</v>
      </c>
      <c r="J32" s="16" t="n">
        <f aca="false">H32*(1-I32/100)</f>
        <v>13200</v>
      </c>
      <c r="K32" s="12" t="n">
        <v>9</v>
      </c>
      <c r="L32" s="12" t="s">
        <v>74</v>
      </c>
      <c r="M32" s="12" t="s">
        <v>50</v>
      </c>
    </row>
    <row r="33" customFormat="false" ht="15" hidden="false" customHeight="true" outlineLevel="0" collapsed="false">
      <c r="A33" s="17" t="s">
        <v>118</v>
      </c>
      <c r="B33" s="18" t="s">
        <v>78</v>
      </c>
      <c r="C33" s="17" t="s">
        <v>79</v>
      </c>
      <c r="D33" s="18" t="s">
        <v>64</v>
      </c>
      <c r="E33" s="18" t="s">
        <v>83</v>
      </c>
      <c r="F33" s="17" t="n">
        <v>258</v>
      </c>
      <c r="G33" s="19" t="n">
        <v>3000</v>
      </c>
      <c r="H33" s="19" t="n">
        <v>774000</v>
      </c>
      <c r="I33" s="20" t="n">
        <v>2</v>
      </c>
      <c r="J33" s="21" t="n">
        <f aca="false">H33*(1-I33/100)</f>
        <v>758520</v>
      </c>
      <c r="K33" s="17" t="n">
        <v>7</v>
      </c>
      <c r="L33" s="17" t="s">
        <v>74</v>
      </c>
      <c r="M33" s="17" t="s">
        <v>50</v>
      </c>
    </row>
    <row r="34" customFormat="false" ht="15" hidden="false" customHeight="true" outlineLevel="0" collapsed="false">
      <c r="A34" s="12" t="s">
        <v>119</v>
      </c>
      <c r="B34" s="13" t="s">
        <v>120</v>
      </c>
      <c r="C34" s="12" t="s">
        <v>72</v>
      </c>
      <c r="D34" s="13" t="s">
        <v>59</v>
      </c>
      <c r="E34" s="13" t="s">
        <v>69</v>
      </c>
      <c r="F34" s="12" t="n">
        <v>145</v>
      </c>
      <c r="G34" s="14" t="n">
        <v>3000</v>
      </c>
      <c r="H34" s="14" t="n">
        <v>435000</v>
      </c>
      <c r="I34" s="15" t="n">
        <v>5</v>
      </c>
      <c r="J34" s="16" t="n">
        <f aca="false">H34*(1-I34/100)</f>
        <v>413250</v>
      </c>
      <c r="K34" s="12" t="n">
        <v>7</v>
      </c>
      <c r="L34" s="12" t="s">
        <v>74</v>
      </c>
      <c r="M34" s="12" t="s">
        <v>61</v>
      </c>
    </row>
    <row r="35" customFormat="false" ht="15" hidden="false" customHeight="true" outlineLevel="0" collapsed="false">
      <c r="A35" s="17" t="s">
        <v>121</v>
      </c>
      <c r="B35" s="18" t="s">
        <v>89</v>
      </c>
      <c r="C35" s="17" t="s">
        <v>79</v>
      </c>
      <c r="D35" s="18" t="s">
        <v>95</v>
      </c>
      <c r="E35" s="18" t="s">
        <v>122</v>
      </c>
      <c r="F35" s="17" t="n">
        <v>39</v>
      </c>
      <c r="G35" s="19" t="n">
        <v>5000</v>
      </c>
      <c r="H35" s="19" t="n">
        <v>195000</v>
      </c>
      <c r="I35" s="20" t="n">
        <v>0</v>
      </c>
      <c r="J35" s="21" t="n">
        <f aca="false">H35*(1-I35/100)</f>
        <v>195000</v>
      </c>
      <c r="K35" s="17" t="n">
        <v>12</v>
      </c>
      <c r="L35" s="17" t="s">
        <v>49</v>
      </c>
      <c r="M35" s="17" t="s">
        <v>61</v>
      </c>
    </row>
    <row r="36" customFormat="false" ht="15" hidden="false" customHeight="true" outlineLevel="0" collapsed="false">
      <c r="A36" s="12" t="s">
        <v>123</v>
      </c>
      <c r="B36" s="13" t="s">
        <v>71</v>
      </c>
      <c r="C36" s="12" t="s">
        <v>46</v>
      </c>
      <c r="D36" s="13" t="s">
        <v>53</v>
      </c>
      <c r="E36" s="13" t="s">
        <v>54</v>
      </c>
      <c r="F36" s="12" t="n">
        <v>267</v>
      </c>
      <c r="G36" s="14" t="n">
        <v>5000</v>
      </c>
      <c r="H36" s="14" t="n">
        <v>1335000</v>
      </c>
      <c r="I36" s="15" t="n">
        <v>2</v>
      </c>
      <c r="J36" s="16" t="n">
        <f aca="false">H36*(1-I36/100)</f>
        <v>1308300</v>
      </c>
      <c r="K36" s="12" t="n">
        <v>1</v>
      </c>
      <c r="L36" s="12" t="s">
        <v>66</v>
      </c>
      <c r="M36" s="12" t="s">
        <v>50</v>
      </c>
    </row>
    <row r="37" customFormat="false" ht="15" hidden="false" customHeight="true" outlineLevel="0" collapsed="false">
      <c r="A37" s="17" t="s">
        <v>124</v>
      </c>
      <c r="B37" s="18" t="s">
        <v>120</v>
      </c>
      <c r="C37" s="17" t="s">
        <v>46</v>
      </c>
      <c r="D37" s="18" t="s">
        <v>53</v>
      </c>
      <c r="E37" s="18" t="s">
        <v>73</v>
      </c>
      <c r="F37" s="17" t="n">
        <v>355</v>
      </c>
      <c r="G37" s="19" t="n">
        <v>750</v>
      </c>
      <c r="H37" s="19" t="n">
        <v>266250</v>
      </c>
      <c r="I37" s="20" t="n">
        <v>8</v>
      </c>
      <c r="J37" s="21" t="n">
        <f aca="false">H37*(1-I37/100)</f>
        <v>244950</v>
      </c>
      <c r="K37" s="17" t="n">
        <v>2</v>
      </c>
      <c r="L37" s="17" t="s">
        <v>66</v>
      </c>
      <c r="M37" s="17" t="s">
        <v>50</v>
      </c>
    </row>
    <row r="38" customFormat="false" ht="15" hidden="false" customHeight="true" outlineLevel="0" collapsed="false">
      <c r="A38" s="12" t="s">
        <v>125</v>
      </c>
      <c r="B38" s="13" t="s">
        <v>71</v>
      </c>
      <c r="C38" s="12" t="s">
        <v>58</v>
      </c>
      <c r="D38" s="13" t="s">
        <v>59</v>
      </c>
      <c r="E38" s="13" t="s">
        <v>69</v>
      </c>
      <c r="F38" s="12" t="n">
        <v>346</v>
      </c>
      <c r="G38" s="14" t="n">
        <v>5000</v>
      </c>
      <c r="H38" s="14" t="n">
        <v>1730000</v>
      </c>
      <c r="I38" s="15" t="n">
        <v>5</v>
      </c>
      <c r="J38" s="16" t="n">
        <f aca="false">H38*(1-I38/100)</f>
        <v>1643500</v>
      </c>
      <c r="K38" s="12" t="n">
        <v>5</v>
      </c>
      <c r="L38" s="12" t="s">
        <v>55</v>
      </c>
      <c r="M38" s="12" t="s">
        <v>50</v>
      </c>
    </row>
    <row r="39" customFormat="false" ht="15" hidden="false" customHeight="true" outlineLevel="0" collapsed="false">
      <c r="A39" s="17" t="s">
        <v>126</v>
      </c>
      <c r="B39" s="18" t="s">
        <v>68</v>
      </c>
      <c r="C39" s="17" t="s">
        <v>79</v>
      </c>
      <c r="D39" s="18" t="s">
        <v>95</v>
      </c>
      <c r="E39" s="18" t="s">
        <v>96</v>
      </c>
      <c r="F39" s="17" t="n">
        <v>77</v>
      </c>
      <c r="G39" s="19" t="n">
        <v>1000</v>
      </c>
      <c r="H39" s="19" t="n">
        <v>77000</v>
      </c>
      <c r="I39" s="20" t="n">
        <v>8</v>
      </c>
      <c r="J39" s="21" t="n">
        <f aca="false">H39*(1-I39/100)</f>
        <v>70840</v>
      </c>
      <c r="K39" s="17" t="n">
        <v>6</v>
      </c>
      <c r="L39" s="17" t="s">
        <v>55</v>
      </c>
      <c r="M39" s="17" t="s">
        <v>50</v>
      </c>
    </row>
    <row r="40" customFormat="false" ht="15" hidden="false" customHeight="true" outlineLevel="0" collapsed="false">
      <c r="A40" s="12" t="s">
        <v>127</v>
      </c>
      <c r="B40" s="13" t="s">
        <v>128</v>
      </c>
      <c r="C40" s="12" t="s">
        <v>72</v>
      </c>
      <c r="D40" s="13" t="s">
        <v>53</v>
      </c>
      <c r="E40" s="13" t="s">
        <v>129</v>
      </c>
      <c r="F40" s="12" t="n">
        <v>61</v>
      </c>
      <c r="G40" s="14" t="n">
        <v>350</v>
      </c>
      <c r="H40" s="14" t="n">
        <v>21350</v>
      </c>
      <c r="I40" s="15" t="n">
        <v>10</v>
      </c>
      <c r="J40" s="16" t="n">
        <f aca="false">H40*(1-I40/100)</f>
        <v>19215</v>
      </c>
      <c r="K40" s="12" t="n">
        <v>4</v>
      </c>
      <c r="L40" s="12" t="s">
        <v>55</v>
      </c>
      <c r="M40" s="12" t="s">
        <v>61</v>
      </c>
    </row>
    <row r="41" customFormat="false" ht="15" hidden="false" customHeight="true" outlineLevel="0" collapsed="false">
      <c r="A41" s="17" t="s">
        <v>130</v>
      </c>
      <c r="B41" s="18" t="s">
        <v>89</v>
      </c>
      <c r="C41" s="17" t="s">
        <v>81</v>
      </c>
      <c r="D41" s="18" t="s">
        <v>59</v>
      </c>
      <c r="E41" s="18" t="s">
        <v>131</v>
      </c>
      <c r="F41" s="17" t="n">
        <v>199</v>
      </c>
      <c r="G41" s="19" t="n">
        <v>1000</v>
      </c>
      <c r="H41" s="19" t="n">
        <v>199000</v>
      </c>
      <c r="I41" s="20" t="n">
        <v>2</v>
      </c>
      <c r="J41" s="21" t="n">
        <f aca="false">H41*(1-I41/100)</f>
        <v>195020</v>
      </c>
      <c r="K41" s="17" t="n">
        <v>8</v>
      </c>
      <c r="L41" s="17" t="s">
        <v>74</v>
      </c>
      <c r="M41" s="17" t="s">
        <v>61</v>
      </c>
    </row>
    <row r="42" customFormat="false" ht="15" hidden="false" customHeight="true" outlineLevel="0" collapsed="false">
      <c r="A42" s="12" t="s">
        <v>132</v>
      </c>
      <c r="B42" s="13" t="s">
        <v>57</v>
      </c>
      <c r="C42" s="12" t="s">
        <v>46</v>
      </c>
      <c r="D42" s="13" t="s">
        <v>47</v>
      </c>
      <c r="E42" s="13" t="s">
        <v>104</v>
      </c>
      <c r="F42" s="12" t="n">
        <v>163</v>
      </c>
      <c r="G42" s="14" t="n">
        <v>350</v>
      </c>
      <c r="H42" s="14" t="n">
        <v>57050</v>
      </c>
      <c r="I42" s="15" t="n">
        <v>2</v>
      </c>
      <c r="J42" s="16" t="n">
        <f aca="false">H42*(1-I42/100)</f>
        <v>55909</v>
      </c>
      <c r="K42" s="12" t="n">
        <v>5</v>
      </c>
      <c r="L42" s="12" t="s">
        <v>55</v>
      </c>
      <c r="M42" s="12" t="s">
        <v>50</v>
      </c>
    </row>
    <row r="43" customFormat="false" ht="15" hidden="false" customHeight="true" outlineLevel="0" collapsed="false">
      <c r="A43" s="17" t="s">
        <v>133</v>
      </c>
      <c r="B43" s="18" t="s">
        <v>45</v>
      </c>
      <c r="C43" s="17" t="s">
        <v>58</v>
      </c>
      <c r="D43" s="18" t="s">
        <v>64</v>
      </c>
      <c r="E43" s="18" t="s">
        <v>83</v>
      </c>
      <c r="F43" s="17" t="n">
        <v>154</v>
      </c>
      <c r="G43" s="19" t="n">
        <v>750</v>
      </c>
      <c r="H43" s="19" t="n">
        <v>115500</v>
      </c>
      <c r="I43" s="20" t="n">
        <v>12</v>
      </c>
      <c r="J43" s="21" t="n">
        <f aca="false">H43*(1-I43/100)</f>
        <v>101640</v>
      </c>
      <c r="K43" s="17" t="n">
        <v>6</v>
      </c>
      <c r="L43" s="17" t="s">
        <v>55</v>
      </c>
      <c r="M43" s="17" t="s">
        <v>50</v>
      </c>
    </row>
    <row r="44" customFormat="false" ht="15" hidden="false" customHeight="true" outlineLevel="0" collapsed="false">
      <c r="A44" s="12" t="s">
        <v>134</v>
      </c>
      <c r="B44" s="13" t="s">
        <v>63</v>
      </c>
      <c r="C44" s="12" t="s">
        <v>58</v>
      </c>
      <c r="D44" s="13" t="s">
        <v>107</v>
      </c>
      <c r="E44" s="13" t="s">
        <v>135</v>
      </c>
      <c r="F44" s="12" t="n">
        <v>473</v>
      </c>
      <c r="G44" s="14" t="n">
        <v>250</v>
      </c>
      <c r="H44" s="14" t="n">
        <v>118250</v>
      </c>
      <c r="I44" s="15" t="n">
        <v>0</v>
      </c>
      <c r="J44" s="16" t="n">
        <f aca="false">H44*(1-I44/100)</f>
        <v>118250</v>
      </c>
      <c r="K44" s="12" t="n">
        <v>11</v>
      </c>
      <c r="L44" s="12" t="s">
        <v>49</v>
      </c>
      <c r="M44" s="12" t="s">
        <v>61</v>
      </c>
    </row>
    <row r="45" customFormat="false" ht="15" hidden="false" customHeight="true" outlineLevel="0" collapsed="false">
      <c r="A45" s="17" t="s">
        <v>136</v>
      </c>
      <c r="B45" s="18" t="s">
        <v>63</v>
      </c>
      <c r="C45" s="17" t="s">
        <v>46</v>
      </c>
      <c r="D45" s="18" t="s">
        <v>59</v>
      </c>
      <c r="E45" s="18" t="s">
        <v>69</v>
      </c>
      <c r="F45" s="17" t="n">
        <v>404</v>
      </c>
      <c r="G45" s="19" t="n">
        <v>500</v>
      </c>
      <c r="H45" s="19" t="n">
        <v>202000</v>
      </c>
      <c r="I45" s="20" t="n">
        <v>12</v>
      </c>
      <c r="J45" s="21" t="n">
        <f aca="false">H45*(1-I45/100)</f>
        <v>177760</v>
      </c>
      <c r="K45" s="17" t="n">
        <v>5</v>
      </c>
      <c r="L45" s="17" t="s">
        <v>55</v>
      </c>
      <c r="M45" s="17" t="s">
        <v>50</v>
      </c>
    </row>
    <row r="46" customFormat="false" ht="15" hidden="false" customHeight="true" outlineLevel="0" collapsed="false">
      <c r="A46" s="12" t="s">
        <v>137</v>
      </c>
      <c r="B46" s="13" t="s">
        <v>106</v>
      </c>
      <c r="C46" s="12" t="s">
        <v>58</v>
      </c>
      <c r="D46" s="13" t="s">
        <v>47</v>
      </c>
      <c r="E46" s="13" t="s">
        <v>48</v>
      </c>
      <c r="F46" s="12" t="n">
        <v>297</v>
      </c>
      <c r="G46" s="14" t="n">
        <v>250</v>
      </c>
      <c r="H46" s="14" t="n">
        <v>74250</v>
      </c>
      <c r="I46" s="15" t="n">
        <v>0</v>
      </c>
      <c r="J46" s="16" t="n">
        <f aca="false">H46*(1-I46/100)</f>
        <v>74250</v>
      </c>
      <c r="K46" s="12" t="n">
        <v>2</v>
      </c>
      <c r="L46" s="12" t="s">
        <v>66</v>
      </c>
      <c r="M46" s="12" t="s">
        <v>50</v>
      </c>
    </row>
    <row r="47" customFormat="false" ht="15" hidden="false" customHeight="true" outlineLevel="0" collapsed="false">
      <c r="A47" s="17" t="s">
        <v>138</v>
      </c>
      <c r="B47" s="18" t="s">
        <v>52</v>
      </c>
      <c r="C47" s="17" t="s">
        <v>46</v>
      </c>
      <c r="D47" s="18" t="s">
        <v>95</v>
      </c>
      <c r="E47" s="18" t="s">
        <v>139</v>
      </c>
      <c r="F47" s="17" t="n">
        <v>292</v>
      </c>
      <c r="G47" s="19" t="n">
        <v>500</v>
      </c>
      <c r="H47" s="19" t="n">
        <v>146000</v>
      </c>
      <c r="I47" s="20" t="n">
        <v>8</v>
      </c>
      <c r="J47" s="21" t="n">
        <f aca="false">H47*(1-I47/100)</f>
        <v>134320</v>
      </c>
      <c r="K47" s="17" t="n">
        <v>3</v>
      </c>
      <c r="L47" s="17" t="s">
        <v>66</v>
      </c>
      <c r="M47" s="17" t="s">
        <v>50</v>
      </c>
    </row>
    <row r="48" customFormat="false" ht="15" hidden="false" customHeight="true" outlineLevel="0" collapsed="false">
      <c r="A48" s="12" t="s">
        <v>140</v>
      </c>
      <c r="B48" s="13" t="s">
        <v>141</v>
      </c>
      <c r="C48" s="12" t="s">
        <v>81</v>
      </c>
      <c r="D48" s="13" t="s">
        <v>59</v>
      </c>
      <c r="E48" s="13" t="s">
        <v>69</v>
      </c>
      <c r="F48" s="12" t="n">
        <v>117</v>
      </c>
      <c r="G48" s="14" t="n">
        <v>750</v>
      </c>
      <c r="H48" s="14" t="n">
        <v>87750</v>
      </c>
      <c r="I48" s="15" t="n">
        <v>12</v>
      </c>
      <c r="J48" s="16" t="n">
        <f aca="false">H48*(1-I48/100)</f>
        <v>77220</v>
      </c>
      <c r="K48" s="12" t="n">
        <v>2</v>
      </c>
      <c r="L48" s="12" t="s">
        <v>66</v>
      </c>
      <c r="M48" s="12" t="s">
        <v>61</v>
      </c>
    </row>
    <row r="49" customFormat="false" ht="15" hidden="false" customHeight="true" outlineLevel="0" collapsed="false">
      <c r="A49" s="17" t="s">
        <v>142</v>
      </c>
      <c r="B49" s="18" t="s">
        <v>52</v>
      </c>
      <c r="C49" s="17" t="s">
        <v>72</v>
      </c>
      <c r="D49" s="18" t="s">
        <v>53</v>
      </c>
      <c r="E49" s="18" t="s">
        <v>129</v>
      </c>
      <c r="F49" s="17" t="n">
        <v>89</v>
      </c>
      <c r="G49" s="19" t="n">
        <v>750</v>
      </c>
      <c r="H49" s="19" t="n">
        <v>66750</v>
      </c>
      <c r="I49" s="20" t="n">
        <v>15</v>
      </c>
      <c r="J49" s="21" t="n">
        <f aca="false">H49*(1-I49/100)</f>
        <v>56737.5</v>
      </c>
      <c r="K49" s="17" t="n">
        <v>3</v>
      </c>
      <c r="L49" s="17" t="s">
        <v>66</v>
      </c>
      <c r="M49" s="17" t="s">
        <v>50</v>
      </c>
    </row>
    <row r="50" customFormat="false" ht="15" hidden="false" customHeight="true" outlineLevel="0" collapsed="false">
      <c r="A50" s="12" t="s">
        <v>143</v>
      </c>
      <c r="B50" s="13" t="s">
        <v>144</v>
      </c>
      <c r="C50" s="12" t="s">
        <v>46</v>
      </c>
      <c r="D50" s="13" t="s">
        <v>64</v>
      </c>
      <c r="E50" s="13" t="s">
        <v>65</v>
      </c>
      <c r="F50" s="12" t="n">
        <v>483</v>
      </c>
      <c r="G50" s="14" t="n">
        <v>1500</v>
      </c>
      <c r="H50" s="14" t="n">
        <v>724500</v>
      </c>
      <c r="I50" s="15" t="n">
        <v>15</v>
      </c>
      <c r="J50" s="16" t="n">
        <f aca="false">H50*(1-I50/100)</f>
        <v>615825</v>
      </c>
      <c r="K50" s="12" t="n">
        <v>7</v>
      </c>
      <c r="L50" s="12" t="s">
        <v>74</v>
      </c>
      <c r="M50" s="12" t="s">
        <v>50</v>
      </c>
    </row>
    <row r="51" customFormat="false" ht="15" hidden="false" customHeight="true" outlineLevel="0" collapsed="false">
      <c r="A51" s="17" t="s">
        <v>145</v>
      </c>
      <c r="B51" s="18" t="s">
        <v>63</v>
      </c>
      <c r="C51" s="17" t="s">
        <v>79</v>
      </c>
      <c r="D51" s="18" t="s">
        <v>47</v>
      </c>
      <c r="E51" s="18" t="s">
        <v>146</v>
      </c>
      <c r="F51" s="17" t="n">
        <v>205</v>
      </c>
      <c r="G51" s="19" t="n">
        <v>250</v>
      </c>
      <c r="H51" s="19" t="n">
        <v>51250</v>
      </c>
      <c r="I51" s="20" t="n">
        <v>15</v>
      </c>
      <c r="J51" s="21" t="n">
        <f aca="false">H51*(1-I51/100)</f>
        <v>43562.5</v>
      </c>
      <c r="K51" s="17" t="n">
        <v>8</v>
      </c>
      <c r="L51" s="17" t="s">
        <v>74</v>
      </c>
      <c r="M51" s="17" t="s">
        <v>50</v>
      </c>
    </row>
    <row r="52" customFormat="false" ht="15" hidden="false" customHeight="true" outlineLevel="0" collapsed="false">
      <c r="A52" s="12" t="s">
        <v>147</v>
      </c>
      <c r="B52" s="13" t="s">
        <v>87</v>
      </c>
      <c r="C52" s="12" t="s">
        <v>72</v>
      </c>
      <c r="D52" s="13" t="s">
        <v>95</v>
      </c>
      <c r="E52" s="13" t="s">
        <v>96</v>
      </c>
      <c r="F52" s="12" t="n">
        <v>430</v>
      </c>
      <c r="G52" s="14" t="n">
        <v>750</v>
      </c>
      <c r="H52" s="14" t="n">
        <v>322500</v>
      </c>
      <c r="I52" s="15" t="n">
        <v>2</v>
      </c>
      <c r="J52" s="16" t="n">
        <f aca="false">H52*(1-I52/100)</f>
        <v>316050</v>
      </c>
      <c r="K52" s="12" t="n">
        <v>1</v>
      </c>
      <c r="L52" s="12" t="s">
        <v>66</v>
      </c>
      <c r="M52" s="12" t="s">
        <v>50</v>
      </c>
    </row>
    <row r="53" customFormat="false" ht="15" hidden="false" customHeight="true" outlineLevel="0" collapsed="false">
      <c r="A53" s="17" t="s">
        <v>148</v>
      </c>
      <c r="B53" s="18" t="s">
        <v>91</v>
      </c>
      <c r="C53" s="17" t="s">
        <v>81</v>
      </c>
      <c r="D53" s="18" t="s">
        <v>95</v>
      </c>
      <c r="E53" s="18" t="s">
        <v>122</v>
      </c>
      <c r="F53" s="17" t="n">
        <v>405</v>
      </c>
      <c r="G53" s="19" t="n">
        <v>1000</v>
      </c>
      <c r="H53" s="19" t="n">
        <v>405000</v>
      </c>
      <c r="I53" s="20" t="n">
        <v>5</v>
      </c>
      <c r="J53" s="21" t="n">
        <f aca="false">H53*(1-I53/100)</f>
        <v>384750</v>
      </c>
      <c r="K53" s="17" t="n">
        <v>11</v>
      </c>
      <c r="L53" s="17" t="s">
        <v>49</v>
      </c>
      <c r="M53" s="17" t="s">
        <v>61</v>
      </c>
    </row>
    <row r="54" customFormat="false" ht="15" hidden="false" customHeight="true" outlineLevel="0" collapsed="false">
      <c r="A54" s="12" t="s">
        <v>149</v>
      </c>
      <c r="B54" s="13" t="s">
        <v>52</v>
      </c>
      <c r="C54" s="12" t="s">
        <v>81</v>
      </c>
      <c r="D54" s="13" t="s">
        <v>59</v>
      </c>
      <c r="E54" s="13" t="s">
        <v>131</v>
      </c>
      <c r="F54" s="12" t="n">
        <v>459</v>
      </c>
      <c r="G54" s="14" t="n">
        <v>1000</v>
      </c>
      <c r="H54" s="14" t="n">
        <v>459000</v>
      </c>
      <c r="I54" s="15" t="n">
        <v>2</v>
      </c>
      <c r="J54" s="16" t="n">
        <f aca="false">H54*(1-I54/100)</f>
        <v>449820</v>
      </c>
      <c r="K54" s="12" t="n">
        <v>10</v>
      </c>
      <c r="L54" s="12" t="s">
        <v>49</v>
      </c>
      <c r="M54" s="12" t="s">
        <v>61</v>
      </c>
    </row>
    <row r="55" customFormat="false" ht="15" hidden="false" customHeight="true" outlineLevel="0" collapsed="false">
      <c r="A55" s="17" t="s">
        <v>150</v>
      </c>
      <c r="B55" s="18" t="s">
        <v>71</v>
      </c>
      <c r="C55" s="17" t="s">
        <v>46</v>
      </c>
      <c r="D55" s="18" t="s">
        <v>53</v>
      </c>
      <c r="E55" s="18" t="s">
        <v>54</v>
      </c>
      <c r="F55" s="17" t="n">
        <v>186</v>
      </c>
      <c r="G55" s="19" t="n">
        <v>1500</v>
      </c>
      <c r="H55" s="19" t="n">
        <v>279000</v>
      </c>
      <c r="I55" s="20" t="n">
        <v>8</v>
      </c>
      <c r="J55" s="21" t="n">
        <f aca="false">H55*(1-I55/100)</f>
        <v>256680</v>
      </c>
      <c r="K55" s="17" t="n">
        <v>10</v>
      </c>
      <c r="L55" s="17" t="s">
        <v>49</v>
      </c>
      <c r="M55" s="17" t="s">
        <v>50</v>
      </c>
    </row>
    <row r="56" customFormat="false" ht="15" hidden="false" customHeight="true" outlineLevel="0" collapsed="false">
      <c r="A56" s="12" t="s">
        <v>151</v>
      </c>
      <c r="B56" s="13" t="s">
        <v>91</v>
      </c>
      <c r="C56" s="12" t="s">
        <v>58</v>
      </c>
      <c r="D56" s="13" t="s">
        <v>64</v>
      </c>
      <c r="E56" s="13" t="s">
        <v>83</v>
      </c>
      <c r="F56" s="12" t="n">
        <v>32</v>
      </c>
      <c r="G56" s="14" t="n">
        <v>2000</v>
      </c>
      <c r="H56" s="14" t="n">
        <v>64000</v>
      </c>
      <c r="I56" s="15" t="n">
        <v>0</v>
      </c>
      <c r="J56" s="16" t="n">
        <f aca="false">H56*(1-I56/100)</f>
        <v>64000</v>
      </c>
      <c r="K56" s="12" t="n">
        <v>9</v>
      </c>
      <c r="L56" s="12" t="s">
        <v>74</v>
      </c>
      <c r="M56" s="12" t="s">
        <v>50</v>
      </c>
    </row>
    <row r="57" customFormat="false" ht="15" hidden="false" customHeight="true" outlineLevel="0" collapsed="false">
      <c r="A57" s="17" t="s">
        <v>152</v>
      </c>
      <c r="B57" s="18" t="s">
        <v>76</v>
      </c>
      <c r="C57" s="17" t="s">
        <v>72</v>
      </c>
      <c r="D57" s="18" t="s">
        <v>59</v>
      </c>
      <c r="E57" s="18" t="s">
        <v>60</v>
      </c>
      <c r="F57" s="17" t="n">
        <v>481</v>
      </c>
      <c r="G57" s="19" t="n">
        <v>1500</v>
      </c>
      <c r="H57" s="19" t="n">
        <v>721500</v>
      </c>
      <c r="I57" s="20" t="n">
        <v>10</v>
      </c>
      <c r="J57" s="21" t="n">
        <f aca="false">H57*(1-I57/100)</f>
        <v>649350</v>
      </c>
      <c r="K57" s="17" t="n">
        <v>6</v>
      </c>
      <c r="L57" s="17" t="s">
        <v>55</v>
      </c>
      <c r="M57" s="17" t="s">
        <v>50</v>
      </c>
    </row>
    <row r="58" customFormat="false" ht="15" hidden="false" customHeight="true" outlineLevel="0" collapsed="false">
      <c r="A58" s="12" t="s">
        <v>153</v>
      </c>
      <c r="B58" s="13" t="s">
        <v>141</v>
      </c>
      <c r="C58" s="12" t="s">
        <v>58</v>
      </c>
      <c r="D58" s="13" t="s">
        <v>95</v>
      </c>
      <c r="E58" s="13" t="s">
        <v>139</v>
      </c>
      <c r="F58" s="12" t="n">
        <v>219</v>
      </c>
      <c r="G58" s="14" t="n">
        <v>1500</v>
      </c>
      <c r="H58" s="14" t="n">
        <v>328500</v>
      </c>
      <c r="I58" s="15" t="n">
        <v>8</v>
      </c>
      <c r="J58" s="16" t="n">
        <f aca="false">H58*(1-I58/100)</f>
        <v>302220</v>
      </c>
      <c r="K58" s="12" t="n">
        <v>12</v>
      </c>
      <c r="L58" s="12" t="s">
        <v>49</v>
      </c>
      <c r="M58" s="12" t="s">
        <v>61</v>
      </c>
    </row>
    <row r="59" customFormat="false" ht="15" hidden="false" customHeight="true" outlineLevel="0" collapsed="false">
      <c r="A59" s="17" t="s">
        <v>154</v>
      </c>
      <c r="B59" s="18" t="s">
        <v>52</v>
      </c>
      <c r="C59" s="17" t="s">
        <v>79</v>
      </c>
      <c r="D59" s="18" t="s">
        <v>64</v>
      </c>
      <c r="E59" s="18" t="s">
        <v>83</v>
      </c>
      <c r="F59" s="17" t="n">
        <v>350</v>
      </c>
      <c r="G59" s="19" t="n">
        <v>2000</v>
      </c>
      <c r="H59" s="19" t="n">
        <v>700000</v>
      </c>
      <c r="I59" s="20" t="n">
        <v>12</v>
      </c>
      <c r="J59" s="21" t="n">
        <f aca="false">H59*(1-I59/100)</f>
        <v>616000</v>
      </c>
      <c r="K59" s="17" t="n">
        <v>12</v>
      </c>
      <c r="L59" s="17" t="s">
        <v>49</v>
      </c>
      <c r="M59" s="17" t="s">
        <v>50</v>
      </c>
    </row>
    <row r="60" customFormat="false" ht="15" hidden="false" customHeight="true" outlineLevel="0" collapsed="false">
      <c r="A60" s="12" t="s">
        <v>155</v>
      </c>
      <c r="B60" s="13" t="s">
        <v>141</v>
      </c>
      <c r="C60" s="12" t="s">
        <v>72</v>
      </c>
      <c r="D60" s="13" t="s">
        <v>53</v>
      </c>
      <c r="E60" s="13" t="s">
        <v>73</v>
      </c>
      <c r="F60" s="12" t="n">
        <v>165</v>
      </c>
      <c r="G60" s="14" t="n">
        <v>1000</v>
      </c>
      <c r="H60" s="14" t="n">
        <v>165000</v>
      </c>
      <c r="I60" s="15" t="n">
        <v>2</v>
      </c>
      <c r="J60" s="16" t="n">
        <f aca="false">H60*(1-I60/100)</f>
        <v>161700</v>
      </c>
      <c r="K60" s="12" t="n">
        <v>7</v>
      </c>
      <c r="L60" s="12" t="s">
        <v>74</v>
      </c>
      <c r="M60" s="12" t="s">
        <v>61</v>
      </c>
    </row>
    <row r="61" customFormat="false" ht="15" hidden="false" customHeight="true" outlineLevel="0" collapsed="false">
      <c r="A61" s="17" t="s">
        <v>156</v>
      </c>
      <c r="B61" s="18" t="s">
        <v>106</v>
      </c>
      <c r="C61" s="17" t="s">
        <v>72</v>
      </c>
      <c r="D61" s="18" t="s">
        <v>107</v>
      </c>
      <c r="E61" s="18" t="s">
        <v>117</v>
      </c>
      <c r="F61" s="17" t="n">
        <v>119</v>
      </c>
      <c r="G61" s="19" t="n">
        <v>5000</v>
      </c>
      <c r="H61" s="19" t="n">
        <v>595000</v>
      </c>
      <c r="I61" s="20" t="n">
        <v>8</v>
      </c>
      <c r="J61" s="21" t="n">
        <f aca="false">H61*(1-I61/100)</f>
        <v>547400</v>
      </c>
      <c r="K61" s="17" t="n">
        <v>12</v>
      </c>
      <c r="L61" s="17" t="s">
        <v>49</v>
      </c>
      <c r="M61" s="17" t="s">
        <v>50</v>
      </c>
    </row>
    <row r="62" customFormat="false" ht="15" hidden="false" customHeight="true" outlineLevel="0" collapsed="false">
      <c r="A62" s="12" t="s">
        <v>157</v>
      </c>
      <c r="B62" s="13" t="s">
        <v>78</v>
      </c>
      <c r="C62" s="12" t="s">
        <v>81</v>
      </c>
      <c r="D62" s="13" t="s">
        <v>53</v>
      </c>
      <c r="E62" s="13" t="s">
        <v>129</v>
      </c>
      <c r="F62" s="12" t="n">
        <v>334</v>
      </c>
      <c r="G62" s="14" t="n">
        <v>1500</v>
      </c>
      <c r="H62" s="14" t="n">
        <v>501000</v>
      </c>
      <c r="I62" s="15" t="n">
        <v>0</v>
      </c>
      <c r="J62" s="16" t="n">
        <f aca="false">H62*(1-I62/100)</f>
        <v>501000</v>
      </c>
      <c r="K62" s="12" t="n">
        <v>4</v>
      </c>
      <c r="L62" s="12" t="s">
        <v>55</v>
      </c>
      <c r="M62" s="12" t="s">
        <v>61</v>
      </c>
    </row>
    <row r="63" customFormat="false" ht="15" hidden="false" customHeight="true" outlineLevel="0" collapsed="false">
      <c r="A63" s="17" t="s">
        <v>158</v>
      </c>
      <c r="B63" s="18" t="s">
        <v>111</v>
      </c>
      <c r="C63" s="17" t="s">
        <v>79</v>
      </c>
      <c r="D63" s="18" t="s">
        <v>64</v>
      </c>
      <c r="E63" s="18" t="s">
        <v>85</v>
      </c>
      <c r="F63" s="17" t="n">
        <v>33</v>
      </c>
      <c r="G63" s="19" t="n">
        <v>750</v>
      </c>
      <c r="H63" s="19" t="n">
        <v>24750</v>
      </c>
      <c r="I63" s="20" t="n">
        <v>8</v>
      </c>
      <c r="J63" s="21" t="n">
        <f aca="false">H63*(1-I63/100)</f>
        <v>22770</v>
      </c>
      <c r="K63" s="17" t="n">
        <v>10</v>
      </c>
      <c r="L63" s="17" t="s">
        <v>49</v>
      </c>
      <c r="M63" s="17" t="s">
        <v>50</v>
      </c>
    </row>
    <row r="64" customFormat="false" ht="15" hidden="false" customHeight="true" outlineLevel="0" collapsed="false">
      <c r="A64" s="12" t="s">
        <v>159</v>
      </c>
      <c r="B64" s="13" t="s">
        <v>106</v>
      </c>
      <c r="C64" s="12" t="s">
        <v>72</v>
      </c>
      <c r="D64" s="13" t="s">
        <v>47</v>
      </c>
      <c r="E64" s="13" t="s">
        <v>104</v>
      </c>
      <c r="F64" s="12" t="n">
        <v>109</v>
      </c>
      <c r="G64" s="14" t="n">
        <v>2000</v>
      </c>
      <c r="H64" s="14" t="n">
        <v>218000</v>
      </c>
      <c r="I64" s="15" t="n">
        <v>8</v>
      </c>
      <c r="J64" s="16" t="n">
        <f aca="false">H64*(1-I64/100)</f>
        <v>200560</v>
      </c>
      <c r="K64" s="12" t="n">
        <v>7</v>
      </c>
      <c r="L64" s="12" t="s">
        <v>74</v>
      </c>
      <c r="M64" s="12" t="s">
        <v>50</v>
      </c>
    </row>
    <row r="65" customFormat="false" ht="15" hidden="false" customHeight="true" outlineLevel="0" collapsed="false">
      <c r="A65" s="17" t="s">
        <v>160</v>
      </c>
      <c r="B65" s="18" t="s">
        <v>89</v>
      </c>
      <c r="C65" s="17" t="s">
        <v>46</v>
      </c>
      <c r="D65" s="18" t="s">
        <v>59</v>
      </c>
      <c r="E65" s="18" t="s">
        <v>69</v>
      </c>
      <c r="F65" s="17" t="n">
        <v>122</v>
      </c>
      <c r="G65" s="19" t="n">
        <v>500</v>
      </c>
      <c r="H65" s="19" t="n">
        <v>61000</v>
      </c>
      <c r="I65" s="20" t="n">
        <v>15</v>
      </c>
      <c r="J65" s="21" t="n">
        <f aca="false">H65*(1-I65/100)</f>
        <v>51850</v>
      </c>
      <c r="K65" s="17" t="n">
        <v>12</v>
      </c>
      <c r="L65" s="17" t="s">
        <v>49</v>
      </c>
      <c r="M65" s="17" t="s">
        <v>61</v>
      </c>
    </row>
    <row r="66" customFormat="false" ht="15" hidden="false" customHeight="true" outlineLevel="0" collapsed="false">
      <c r="A66" s="12" t="s">
        <v>161</v>
      </c>
      <c r="B66" s="13" t="s">
        <v>71</v>
      </c>
      <c r="C66" s="12" t="s">
        <v>58</v>
      </c>
      <c r="D66" s="13" t="s">
        <v>64</v>
      </c>
      <c r="E66" s="13" t="s">
        <v>85</v>
      </c>
      <c r="F66" s="12" t="n">
        <v>243</v>
      </c>
      <c r="G66" s="14" t="n">
        <v>500</v>
      </c>
      <c r="H66" s="14" t="n">
        <v>121500</v>
      </c>
      <c r="I66" s="15" t="n">
        <v>15</v>
      </c>
      <c r="J66" s="16" t="n">
        <f aca="false">H66*(1-I66/100)</f>
        <v>103275</v>
      </c>
      <c r="K66" s="12" t="n">
        <v>8</v>
      </c>
      <c r="L66" s="12" t="s">
        <v>74</v>
      </c>
      <c r="M66" s="12" t="s">
        <v>61</v>
      </c>
    </row>
    <row r="67" customFormat="false" ht="15" hidden="false" customHeight="true" outlineLevel="0" collapsed="false">
      <c r="A67" s="17" t="s">
        <v>162</v>
      </c>
      <c r="B67" s="18" t="s">
        <v>106</v>
      </c>
      <c r="C67" s="17" t="s">
        <v>58</v>
      </c>
      <c r="D67" s="18" t="s">
        <v>47</v>
      </c>
      <c r="E67" s="18" t="s">
        <v>104</v>
      </c>
      <c r="F67" s="17" t="n">
        <v>228</v>
      </c>
      <c r="G67" s="19" t="n">
        <v>5000</v>
      </c>
      <c r="H67" s="19" t="n">
        <v>1140000</v>
      </c>
      <c r="I67" s="20" t="n">
        <v>8</v>
      </c>
      <c r="J67" s="21" t="n">
        <f aca="false">H67*(1-I67/100)</f>
        <v>1048800</v>
      </c>
      <c r="K67" s="17" t="n">
        <v>3</v>
      </c>
      <c r="L67" s="17" t="s">
        <v>66</v>
      </c>
      <c r="M67" s="17" t="s">
        <v>61</v>
      </c>
    </row>
    <row r="68" customFormat="false" ht="15" hidden="false" customHeight="true" outlineLevel="0" collapsed="false">
      <c r="A68" s="12" t="s">
        <v>163</v>
      </c>
      <c r="B68" s="13" t="s">
        <v>106</v>
      </c>
      <c r="C68" s="12" t="s">
        <v>81</v>
      </c>
      <c r="D68" s="13" t="s">
        <v>64</v>
      </c>
      <c r="E68" s="13" t="s">
        <v>65</v>
      </c>
      <c r="F68" s="12" t="n">
        <v>151</v>
      </c>
      <c r="G68" s="14" t="n">
        <v>5000</v>
      </c>
      <c r="H68" s="14" t="n">
        <v>755000</v>
      </c>
      <c r="I68" s="15" t="n">
        <v>8</v>
      </c>
      <c r="J68" s="16" t="n">
        <f aca="false">H68*(1-I68/100)</f>
        <v>694600</v>
      </c>
      <c r="K68" s="12" t="n">
        <v>11</v>
      </c>
      <c r="L68" s="12" t="s">
        <v>49</v>
      </c>
      <c r="M68" s="12" t="s">
        <v>50</v>
      </c>
    </row>
    <row r="69" customFormat="false" ht="15" hidden="false" customHeight="true" outlineLevel="0" collapsed="false">
      <c r="A69" s="17" t="s">
        <v>164</v>
      </c>
      <c r="B69" s="18" t="s">
        <v>63</v>
      </c>
      <c r="C69" s="17" t="s">
        <v>72</v>
      </c>
      <c r="D69" s="18" t="s">
        <v>59</v>
      </c>
      <c r="E69" s="18" t="s">
        <v>60</v>
      </c>
      <c r="F69" s="17" t="n">
        <v>156</v>
      </c>
      <c r="G69" s="19" t="n">
        <v>750</v>
      </c>
      <c r="H69" s="19" t="n">
        <v>117000</v>
      </c>
      <c r="I69" s="20" t="n">
        <v>5</v>
      </c>
      <c r="J69" s="21" t="n">
        <f aca="false">H69*(1-I69/100)</f>
        <v>111150</v>
      </c>
      <c r="K69" s="17" t="n">
        <v>6</v>
      </c>
      <c r="L69" s="17" t="s">
        <v>55</v>
      </c>
      <c r="M69" s="17" t="s">
        <v>61</v>
      </c>
    </row>
    <row r="70" customFormat="false" ht="15" hidden="false" customHeight="true" outlineLevel="0" collapsed="false">
      <c r="A70" s="12" t="s">
        <v>165</v>
      </c>
      <c r="B70" s="13" t="s">
        <v>52</v>
      </c>
      <c r="C70" s="12" t="s">
        <v>46</v>
      </c>
      <c r="D70" s="13" t="s">
        <v>64</v>
      </c>
      <c r="E70" s="13" t="s">
        <v>85</v>
      </c>
      <c r="F70" s="12" t="n">
        <v>128</v>
      </c>
      <c r="G70" s="14" t="n">
        <v>2000</v>
      </c>
      <c r="H70" s="14" t="n">
        <v>256000</v>
      </c>
      <c r="I70" s="15" t="n">
        <v>12</v>
      </c>
      <c r="J70" s="16" t="n">
        <f aca="false">H70*(1-I70/100)</f>
        <v>225280</v>
      </c>
      <c r="K70" s="12" t="n">
        <v>3</v>
      </c>
      <c r="L70" s="12" t="s">
        <v>66</v>
      </c>
      <c r="M70" s="12" t="s">
        <v>50</v>
      </c>
    </row>
    <row r="71" customFormat="false" ht="15" hidden="false" customHeight="true" outlineLevel="0" collapsed="false">
      <c r="A71" s="17" t="s">
        <v>166</v>
      </c>
      <c r="B71" s="18" t="s">
        <v>78</v>
      </c>
      <c r="C71" s="17" t="s">
        <v>72</v>
      </c>
      <c r="D71" s="18" t="s">
        <v>107</v>
      </c>
      <c r="E71" s="18" t="s">
        <v>135</v>
      </c>
      <c r="F71" s="17" t="n">
        <v>287</v>
      </c>
      <c r="G71" s="19" t="n">
        <v>3000</v>
      </c>
      <c r="H71" s="19" t="n">
        <v>861000</v>
      </c>
      <c r="I71" s="20" t="n">
        <v>8</v>
      </c>
      <c r="J71" s="21" t="n">
        <f aca="false">H71*(1-I71/100)</f>
        <v>792120</v>
      </c>
      <c r="K71" s="17" t="n">
        <v>1</v>
      </c>
      <c r="L71" s="17" t="s">
        <v>66</v>
      </c>
      <c r="M71" s="17" t="s">
        <v>50</v>
      </c>
    </row>
    <row r="72" customFormat="false" ht="15" hidden="false" customHeight="true" outlineLevel="0" collapsed="false">
      <c r="A72" s="12" t="s">
        <v>167</v>
      </c>
      <c r="B72" s="13" t="s">
        <v>144</v>
      </c>
      <c r="C72" s="12" t="s">
        <v>72</v>
      </c>
      <c r="D72" s="13" t="s">
        <v>53</v>
      </c>
      <c r="E72" s="13" t="s">
        <v>129</v>
      </c>
      <c r="F72" s="12" t="n">
        <v>20</v>
      </c>
      <c r="G72" s="14" t="n">
        <v>2000</v>
      </c>
      <c r="H72" s="14" t="n">
        <v>40000</v>
      </c>
      <c r="I72" s="15" t="n">
        <v>8</v>
      </c>
      <c r="J72" s="16" t="n">
        <f aca="false">H72*(1-I72/100)</f>
        <v>36800</v>
      </c>
      <c r="K72" s="12" t="n">
        <v>1</v>
      </c>
      <c r="L72" s="12" t="s">
        <v>66</v>
      </c>
      <c r="M72" s="12" t="s">
        <v>61</v>
      </c>
    </row>
    <row r="73" customFormat="false" ht="15" hidden="false" customHeight="true" outlineLevel="0" collapsed="false">
      <c r="A73" s="17" t="s">
        <v>168</v>
      </c>
      <c r="B73" s="18" t="s">
        <v>141</v>
      </c>
      <c r="C73" s="17" t="s">
        <v>72</v>
      </c>
      <c r="D73" s="18" t="s">
        <v>107</v>
      </c>
      <c r="E73" s="18" t="s">
        <v>117</v>
      </c>
      <c r="F73" s="17" t="n">
        <v>392</v>
      </c>
      <c r="G73" s="19" t="n">
        <v>5000</v>
      </c>
      <c r="H73" s="19" t="n">
        <v>1960000</v>
      </c>
      <c r="I73" s="20" t="n">
        <v>15</v>
      </c>
      <c r="J73" s="21" t="n">
        <f aca="false">H73*(1-I73/100)</f>
        <v>1666000</v>
      </c>
      <c r="K73" s="17" t="n">
        <v>10</v>
      </c>
      <c r="L73" s="17" t="s">
        <v>49</v>
      </c>
      <c r="M73" s="17" t="s">
        <v>50</v>
      </c>
    </row>
    <row r="74" customFormat="false" ht="15" hidden="false" customHeight="true" outlineLevel="0" collapsed="false">
      <c r="A74" s="12" t="s">
        <v>169</v>
      </c>
      <c r="B74" s="13" t="s">
        <v>100</v>
      </c>
      <c r="C74" s="12" t="s">
        <v>79</v>
      </c>
      <c r="D74" s="13" t="s">
        <v>95</v>
      </c>
      <c r="E74" s="13" t="s">
        <v>96</v>
      </c>
      <c r="F74" s="12" t="n">
        <v>258</v>
      </c>
      <c r="G74" s="14" t="n">
        <v>250</v>
      </c>
      <c r="H74" s="14" t="n">
        <v>64500</v>
      </c>
      <c r="I74" s="15" t="n">
        <v>8</v>
      </c>
      <c r="J74" s="16" t="n">
        <f aca="false">H74*(1-I74/100)</f>
        <v>59340</v>
      </c>
      <c r="K74" s="12" t="n">
        <v>6</v>
      </c>
      <c r="L74" s="12" t="s">
        <v>55</v>
      </c>
      <c r="M74" s="12" t="s">
        <v>61</v>
      </c>
    </row>
    <row r="75" customFormat="false" ht="15" hidden="false" customHeight="true" outlineLevel="0" collapsed="false">
      <c r="A75" s="17" t="s">
        <v>170</v>
      </c>
      <c r="B75" s="18" t="s">
        <v>120</v>
      </c>
      <c r="C75" s="17" t="s">
        <v>72</v>
      </c>
      <c r="D75" s="18" t="s">
        <v>64</v>
      </c>
      <c r="E75" s="18" t="s">
        <v>65</v>
      </c>
      <c r="F75" s="17" t="n">
        <v>283</v>
      </c>
      <c r="G75" s="19" t="n">
        <v>250</v>
      </c>
      <c r="H75" s="19" t="n">
        <v>70750</v>
      </c>
      <c r="I75" s="20" t="n">
        <v>8</v>
      </c>
      <c r="J75" s="21" t="n">
        <f aca="false">H75*(1-I75/100)</f>
        <v>65090</v>
      </c>
      <c r="K75" s="17" t="n">
        <v>10</v>
      </c>
      <c r="L75" s="17" t="s">
        <v>49</v>
      </c>
      <c r="M75" s="17" t="s">
        <v>50</v>
      </c>
    </row>
    <row r="76" customFormat="false" ht="15" hidden="false" customHeight="true" outlineLevel="0" collapsed="false">
      <c r="A76" s="12" t="s">
        <v>171</v>
      </c>
      <c r="B76" s="13" t="s">
        <v>78</v>
      </c>
      <c r="C76" s="12" t="s">
        <v>72</v>
      </c>
      <c r="D76" s="13" t="s">
        <v>64</v>
      </c>
      <c r="E76" s="13" t="s">
        <v>83</v>
      </c>
      <c r="F76" s="12" t="n">
        <v>103</v>
      </c>
      <c r="G76" s="14" t="n">
        <v>250</v>
      </c>
      <c r="H76" s="14" t="n">
        <v>25750</v>
      </c>
      <c r="I76" s="15" t="n">
        <v>5</v>
      </c>
      <c r="J76" s="16" t="n">
        <f aca="false">H76*(1-I76/100)</f>
        <v>24462.5</v>
      </c>
      <c r="K76" s="12" t="n">
        <v>7</v>
      </c>
      <c r="L76" s="12" t="s">
        <v>74</v>
      </c>
      <c r="M76" s="12" t="s">
        <v>61</v>
      </c>
    </row>
    <row r="77" customFormat="false" ht="15" hidden="false" customHeight="true" outlineLevel="0" collapsed="false">
      <c r="A77" s="17" t="s">
        <v>172</v>
      </c>
      <c r="B77" s="18" t="s">
        <v>87</v>
      </c>
      <c r="C77" s="17" t="s">
        <v>72</v>
      </c>
      <c r="D77" s="18" t="s">
        <v>95</v>
      </c>
      <c r="E77" s="18" t="s">
        <v>96</v>
      </c>
      <c r="F77" s="17" t="n">
        <v>399</v>
      </c>
      <c r="G77" s="19" t="n">
        <v>2000</v>
      </c>
      <c r="H77" s="19" t="n">
        <v>798000</v>
      </c>
      <c r="I77" s="20" t="n">
        <v>5</v>
      </c>
      <c r="J77" s="21" t="n">
        <f aca="false">H77*(1-I77/100)</f>
        <v>758100</v>
      </c>
      <c r="K77" s="17" t="n">
        <v>7</v>
      </c>
      <c r="L77" s="17" t="s">
        <v>74</v>
      </c>
      <c r="M77" s="17" t="s">
        <v>61</v>
      </c>
    </row>
    <row r="78" customFormat="false" ht="15" hidden="false" customHeight="true" outlineLevel="0" collapsed="false">
      <c r="A78" s="12" t="s">
        <v>173</v>
      </c>
      <c r="B78" s="13" t="s">
        <v>78</v>
      </c>
      <c r="C78" s="12" t="s">
        <v>72</v>
      </c>
      <c r="D78" s="13" t="s">
        <v>59</v>
      </c>
      <c r="E78" s="13" t="s">
        <v>60</v>
      </c>
      <c r="F78" s="12" t="n">
        <v>286</v>
      </c>
      <c r="G78" s="14" t="n">
        <v>250</v>
      </c>
      <c r="H78" s="14" t="n">
        <v>71500</v>
      </c>
      <c r="I78" s="15" t="n">
        <v>5</v>
      </c>
      <c r="J78" s="16" t="n">
        <f aca="false">H78*(1-I78/100)</f>
        <v>67925</v>
      </c>
      <c r="K78" s="12" t="n">
        <v>4</v>
      </c>
      <c r="L78" s="12" t="s">
        <v>55</v>
      </c>
      <c r="M78" s="12" t="s">
        <v>50</v>
      </c>
    </row>
    <row r="79" customFormat="false" ht="15" hidden="false" customHeight="true" outlineLevel="0" collapsed="false">
      <c r="A79" s="17" t="s">
        <v>174</v>
      </c>
      <c r="B79" s="18" t="s">
        <v>71</v>
      </c>
      <c r="C79" s="17" t="s">
        <v>46</v>
      </c>
      <c r="D79" s="18" t="s">
        <v>64</v>
      </c>
      <c r="E79" s="18" t="s">
        <v>85</v>
      </c>
      <c r="F79" s="17" t="n">
        <v>439</v>
      </c>
      <c r="G79" s="19" t="n">
        <v>250</v>
      </c>
      <c r="H79" s="19" t="n">
        <v>109750</v>
      </c>
      <c r="I79" s="20" t="n">
        <v>10</v>
      </c>
      <c r="J79" s="21" t="n">
        <f aca="false">H79*(1-I79/100)</f>
        <v>98775</v>
      </c>
      <c r="K79" s="17" t="n">
        <v>3</v>
      </c>
      <c r="L79" s="17" t="s">
        <v>66</v>
      </c>
      <c r="M79" s="17" t="s">
        <v>50</v>
      </c>
    </row>
    <row r="80" customFormat="false" ht="15" hidden="false" customHeight="true" outlineLevel="0" collapsed="false">
      <c r="A80" s="12" t="s">
        <v>175</v>
      </c>
      <c r="B80" s="13" t="s">
        <v>89</v>
      </c>
      <c r="C80" s="12" t="s">
        <v>72</v>
      </c>
      <c r="D80" s="13" t="s">
        <v>47</v>
      </c>
      <c r="E80" s="13" t="s">
        <v>146</v>
      </c>
      <c r="F80" s="12" t="n">
        <v>298</v>
      </c>
      <c r="G80" s="14" t="n">
        <v>750</v>
      </c>
      <c r="H80" s="14" t="n">
        <v>223500</v>
      </c>
      <c r="I80" s="15" t="n">
        <v>8</v>
      </c>
      <c r="J80" s="16" t="n">
        <f aca="false">H80*(1-I80/100)</f>
        <v>205620</v>
      </c>
      <c r="K80" s="12" t="n">
        <v>12</v>
      </c>
      <c r="L80" s="12" t="s">
        <v>49</v>
      </c>
      <c r="M80" s="12" t="s">
        <v>61</v>
      </c>
    </row>
    <row r="81" customFormat="false" ht="15" hidden="false" customHeight="true" outlineLevel="0" collapsed="false">
      <c r="A81" s="17" t="s">
        <v>176</v>
      </c>
      <c r="B81" s="18" t="s">
        <v>76</v>
      </c>
      <c r="C81" s="17" t="s">
        <v>79</v>
      </c>
      <c r="D81" s="18" t="s">
        <v>53</v>
      </c>
      <c r="E81" s="18" t="s">
        <v>129</v>
      </c>
      <c r="F81" s="17" t="n">
        <v>392</v>
      </c>
      <c r="G81" s="19" t="n">
        <v>350</v>
      </c>
      <c r="H81" s="19" t="n">
        <v>137200</v>
      </c>
      <c r="I81" s="20" t="n">
        <v>15</v>
      </c>
      <c r="J81" s="21" t="n">
        <f aca="false">H81*(1-I81/100)</f>
        <v>116620</v>
      </c>
      <c r="K81" s="17" t="n">
        <v>3</v>
      </c>
      <c r="L81" s="17" t="s">
        <v>66</v>
      </c>
      <c r="M81" s="17" t="s">
        <v>61</v>
      </c>
    </row>
    <row r="82" customFormat="false" ht="15" hidden="false" customHeight="true" outlineLevel="0" collapsed="false">
      <c r="A82" s="12" t="s">
        <v>177</v>
      </c>
      <c r="B82" s="13" t="s">
        <v>45</v>
      </c>
      <c r="C82" s="12" t="s">
        <v>58</v>
      </c>
      <c r="D82" s="13" t="s">
        <v>59</v>
      </c>
      <c r="E82" s="13" t="s">
        <v>69</v>
      </c>
      <c r="F82" s="12" t="n">
        <v>304</v>
      </c>
      <c r="G82" s="14" t="n">
        <v>2000</v>
      </c>
      <c r="H82" s="14" t="n">
        <v>608000</v>
      </c>
      <c r="I82" s="15" t="n">
        <v>8</v>
      </c>
      <c r="J82" s="16" t="n">
        <f aca="false">H82*(1-I82/100)</f>
        <v>559360</v>
      </c>
      <c r="K82" s="12" t="n">
        <v>12</v>
      </c>
      <c r="L82" s="12" t="s">
        <v>49</v>
      </c>
      <c r="M82" s="12" t="s">
        <v>50</v>
      </c>
    </row>
    <row r="83" customFormat="false" ht="15" hidden="false" customHeight="true" outlineLevel="0" collapsed="false">
      <c r="A83" s="17" t="s">
        <v>178</v>
      </c>
      <c r="B83" s="18" t="s">
        <v>78</v>
      </c>
      <c r="C83" s="17" t="s">
        <v>58</v>
      </c>
      <c r="D83" s="18" t="s">
        <v>47</v>
      </c>
      <c r="E83" s="18" t="s">
        <v>104</v>
      </c>
      <c r="F83" s="17" t="n">
        <v>134</v>
      </c>
      <c r="G83" s="19" t="n">
        <v>350</v>
      </c>
      <c r="H83" s="19" t="n">
        <v>46900</v>
      </c>
      <c r="I83" s="20" t="n">
        <v>12</v>
      </c>
      <c r="J83" s="21" t="n">
        <f aca="false">H83*(1-I83/100)</f>
        <v>41272</v>
      </c>
      <c r="K83" s="17" t="n">
        <v>5</v>
      </c>
      <c r="L83" s="17" t="s">
        <v>55</v>
      </c>
      <c r="M83" s="17" t="s">
        <v>50</v>
      </c>
    </row>
    <row r="84" customFormat="false" ht="15" hidden="false" customHeight="true" outlineLevel="0" collapsed="false">
      <c r="A84" s="12" t="s">
        <v>179</v>
      </c>
      <c r="B84" s="13" t="s">
        <v>71</v>
      </c>
      <c r="C84" s="12" t="s">
        <v>81</v>
      </c>
      <c r="D84" s="13" t="s">
        <v>53</v>
      </c>
      <c r="E84" s="13" t="s">
        <v>54</v>
      </c>
      <c r="F84" s="12" t="n">
        <v>348</v>
      </c>
      <c r="G84" s="14" t="n">
        <v>1500</v>
      </c>
      <c r="H84" s="14" t="n">
        <v>522000</v>
      </c>
      <c r="I84" s="15" t="n">
        <v>0</v>
      </c>
      <c r="J84" s="16" t="n">
        <f aca="false">H84*(1-I84/100)</f>
        <v>522000</v>
      </c>
      <c r="K84" s="12" t="n">
        <v>9</v>
      </c>
      <c r="L84" s="12" t="s">
        <v>74</v>
      </c>
      <c r="M84" s="12" t="s">
        <v>61</v>
      </c>
    </row>
    <row r="85" customFormat="false" ht="15" hidden="false" customHeight="true" outlineLevel="0" collapsed="false">
      <c r="A85" s="17" t="s">
        <v>180</v>
      </c>
      <c r="B85" s="18" t="s">
        <v>128</v>
      </c>
      <c r="C85" s="17" t="s">
        <v>72</v>
      </c>
      <c r="D85" s="18" t="s">
        <v>107</v>
      </c>
      <c r="E85" s="18" t="s">
        <v>108</v>
      </c>
      <c r="F85" s="17" t="n">
        <v>231</v>
      </c>
      <c r="G85" s="19" t="n">
        <v>1500</v>
      </c>
      <c r="H85" s="19" t="n">
        <v>346500</v>
      </c>
      <c r="I85" s="20" t="n">
        <v>12</v>
      </c>
      <c r="J85" s="21" t="n">
        <f aca="false">H85*(1-I85/100)</f>
        <v>304920</v>
      </c>
      <c r="K85" s="17" t="n">
        <v>8</v>
      </c>
      <c r="L85" s="17" t="s">
        <v>74</v>
      </c>
      <c r="M85" s="17" t="s">
        <v>50</v>
      </c>
    </row>
    <row r="86" customFormat="false" ht="15" hidden="false" customHeight="true" outlineLevel="0" collapsed="false">
      <c r="A86" s="12" t="s">
        <v>181</v>
      </c>
      <c r="B86" s="13" t="s">
        <v>144</v>
      </c>
      <c r="C86" s="12" t="s">
        <v>79</v>
      </c>
      <c r="D86" s="13" t="s">
        <v>47</v>
      </c>
      <c r="E86" s="13" t="s">
        <v>104</v>
      </c>
      <c r="F86" s="12" t="n">
        <v>343</v>
      </c>
      <c r="G86" s="14" t="n">
        <v>1000</v>
      </c>
      <c r="H86" s="14" t="n">
        <v>343000</v>
      </c>
      <c r="I86" s="15" t="n">
        <v>10</v>
      </c>
      <c r="J86" s="16" t="n">
        <f aca="false">H86*(1-I86/100)</f>
        <v>308700</v>
      </c>
      <c r="K86" s="12" t="n">
        <v>9</v>
      </c>
      <c r="L86" s="12" t="s">
        <v>74</v>
      </c>
      <c r="M86" s="12" t="s">
        <v>61</v>
      </c>
    </row>
    <row r="87" customFormat="false" ht="15" hidden="false" customHeight="true" outlineLevel="0" collapsed="false">
      <c r="A87" s="17" t="s">
        <v>182</v>
      </c>
      <c r="B87" s="18" t="s">
        <v>106</v>
      </c>
      <c r="C87" s="17" t="s">
        <v>72</v>
      </c>
      <c r="D87" s="18" t="s">
        <v>47</v>
      </c>
      <c r="E87" s="18" t="s">
        <v>104</v>
      </c>
      <c r="F87" s="17" t="n">
        <v>147</v>
      </c>
      <c r="G87" s="19" t="n">
        <v>1500</v>
      </c>
      <c r="H87" s="19" t="n">
        <v>220500</v>
      </c>
      <c r="I87" s="20" t="n">
        <v>15</v>
      </c>
      <c r="J87" s="21" t="n">
        <f aca="false">H87*(1-I87/100)</f>
        <v>187425</v>
      </c>
      <c r="K87" s="17" t="n">
        <v>4</v>
      </c>
      <c r="L87" s="17" t="s">
        <v>55</v>
      </c>
      <c r="M87" s="17" t="s">
        <v>50</v>
      </c>
    </row>
    <row r="88" customFormat="false" ht="15" hidden="false" customHeight="true" outlineLevel="0" collapsed="false">
      <c r="A88" s="12" t="s">
        <v>183</v>
      </c>
      <c r="B88" s="13" t="s">
        <v>63</v>
      </c>
      <c r="C88" s="12" t="s">
        <v>72</v>
      </c>
      <c r="D88" s="13" t="s">
        <v>64</v>
      </c>
      <c r="E88" s="13" t="s">
        <v>83</v>
      </c>
      <c r="F88" s="12" t="n">
        <v>301</v>
      </c>
      <c r="G88" s="14" t="n">
        <v>2000</v>
      </c>
      <c r="H88" s="14" t="n">
        <v>602000</v>
      </c>
      <c r="I88" s="15" t="n">
        <v>5</v>
      </c>
      <c r="J88" s="16" t="n">
        <f aca="false">H88*(1-I88/100)</f>
        <v>571900</v>
      </c>
      <c r="K88" s="12" t="n">
        <v>1</v>
      </c>
      <c r="L88" s="12" t="s">
        <v>66</v>
      </c>
      <c r="M88" s="12" t="s">
        <v>61</v>
      </c>
    </row>
    <row r="89" customFormat="false" ht="15" hidden="false" customHeight="true" outlineLevel="0" collapsed="false">
      <c r="A89" s="17" t="s">
        <v>184</v>
      </c>
      <c r="B89" s="18" t="s">
        <v>68</v>
      </c>
      <c r="C89" s="17" t="s">
        <v>79</v>
      </c>
      <c r="D89" s="18" t="s">
        <v>107</v>
      </c>
      <c r="E89" s="18" t="s">
        <v>108</v>
      </c>
      <c r="F89" s="17" t="n">
        <v>191</v>
      </c>
      <c r="G89" s="19" t="n">
        <v>1000</v>
      </c>
      <c r="H89" s="19" t="n">
        <v>191000</v>
      </c>
      <c r="I89" s="20" t="n">
        <v>5</v>
      </c>
      <c r="J89" s="21" t="n">
        <f aca="false">H89*(1-I89/100)</f>
        <v>181450</v>
      </c>
      <c r="K89" s="17" t="n">
        <v>5</v>
      </c>
      <c r="L89" s="17" t="s">
        <v>55</v>
      </c>
      <c r="M89" s="17" t="s">
        <v>61</v>
      </c>
    </row>
    <row r="90" customFormat="false" ht="15" hidden="false" customHeight="true" outlineLevel="0" collapsed="false">
      <c r="A90" s="12" t="s">
        <v>185</v>
      </c>
      <c r="B90" s="13" t="s">
        <v>52</v>
      </c>
      <c r="C90" s="12" t="s">
        <v>46</v>
      </c>
      <c r="D90" s="13" t="s">
        <v>53</v>
      </c>
      <c r="E90" s="13" t="s">
        <v>73</v>
      </c>
      <c r="F90" s="12" t="n">
        <v>53</v>
      </c>
      <c r="G90" s="14" t="n">
        <v>750</v>
      </c>
      <c r="H90" s="14" t="n">
        <v>39750</v>
      </c>
      <c r="I90" s="15" t="n">
        <v>12</v>
      </c>
      <c r="J90" s="16" t="n">
        <f aca="false">H90*(1-I90/100)</f>
        <v>34980</v>
      </c>
      <c r="K90" s="12" t="n">
        <v>7</v>
      </c>
      <c r="L90" s="12" t="s">
        <v>74</v>
      </c>
      <c r="M90" s="12" t="s">
        <v>61</v>
      </c>
    </row>
    <row r="91" customFormat="false" ht="15" hidden="false" customHeight="true" outlineLevel="0" collapsed="false">
      <c r="A91" s="17" t="s">
        <v>186</v>
      </c>
      <c r="B91" s="18" t="s">
        <v>52</v>
      </c>
      <c r="C91" s="17" t="s">
        <v>79</v>
      </c>
      <c r="D91" s="18" t="s">
        <v>47</v>
      </c>
      <c r="E91" s="18" t="s">
        <v>48</v>
      </c>
      <c r="F91" s="17" t="n">
        <v>340</v>
      </c>
      <c r="G91" s="19" t="n">
        <v>3000</v>
      </c>
      <c r="H91" s="19" t="n">
        <v>1020000</v>
      </c>
      <c r="I91" s="20" t="n">
        <v>8</v>
      </c>
      <c r="J91" s="21" t="n">
        <f aca="false">H91*(1-I91/100)</f>
        <v>938400</v>
      </c>
      <c r="K91" s="17" t="n">
        <v>1</v>
      </c>
      <c r="L91" s="17" t="s">
        <v>66</v>
      </c>
      <c r="M91" s="17" t="s">
        <v>50</v>
      </c>
    </row>
    <row r="92" customFormat="false" ht="15" hidden="false" customHeight="true" outlineLevel="0" collapsed="false">
      <c r="A92" s="12" t="s">
        <v>187</v>
      </c>
      <c r="B92" s="13" t="s">
        <v>141</v>
      </c>
      <c r="C92" s="12" t="s">
        <v>79</v>
      </c>
      <c r="D92" s="13" t="s">
        <v>107</v>
      </c>
      <c r="E92" s="13" t="s">
        <v>117</v>
      </c>
      <c r="F92" s="12" t="n">
        <v>134</v>
      </c>
      <c r="G92" s="14" t="n">
        <v>1000</v>
      </c>
      <c r="H92" s="14" t="n">
        <v>134000</v>
      </c>
      <c r="I92" s="15" t="n">
        <v>12</v>
      </c>
      <c r="J92" s="16" t="n">
        <f aca="false">H92*(1-I92/100)</f>
        <v>117920</v>
      </c>
      <c r="K92" s="12" t="n">
        <v>10</v>
      </c>
      <c r="L92" s="12" t="s">
        <v>49</v>
      </c>
      <c r="M92" s="12" t="s">
        <v>61</v>
      </c>
    </row>
    <row r="93" customFormat="false" ht="15" hidden="false" customHeight="true" outlineLevel="0" collapsed="false">
      <c r="A93" s="17" t="s">
        <v>188</v>
      </c>
      <c r="B93" s="18" t="s">
        <v>100</v>
      </c>
      <c r="C93" s="17" t="s">
        <v>58</v>
      </c>
      <c r="D93" s="18" t="s">
        <v>53</v>
      </c>
      <c r="E93" s="18" t="s">
        <v>54</v>
      </c>
      <c r="F93" s="17" t="n">
        <v>227</v>
      </c>
      <c r="G93" s="19" t="n">
        <v>5000</v>
      </c>
      <c r="H93" s="19" t="n">
        <v>1135000</v>
      </c>
      <c r="I93" s="20" t="n">
        <v>5</v>
      </c>
      <c r="J93" s="21" t="n">
        <f aca="false">H93*(1-I93/100)</f>
        <v>1078250</v>
      </c>
      <c r="K93" s="17" t="n">
        <v>6</v>
      </c>
      <c r="L93" s="17" t="s">
        <v>55</v>
      </c>
      <c r="M93" s="17" t="s">
        <v>61</v>
      </c>
    </row>
    <row r="94" customFormat="false" ht="15" hidden="false" customHeight="true" outlineLevel="0" collapsed="false">
      <c r="A94" s="12" t="s">
        <v>189</v>
      </c>
      <c r="B94" s="13" t="s">
        <v>63</v>
      </c>
      <c r="C94" s="12" t="s">
        <v>81</v>
      </c>
      <c r="D94" s="13" t="s">
        <v>95</v>
      </c>
      <c r="E94" s="13" t="s">
        <v>122</v>
      </c>
      <c r="F94" s="12" t="n">
        <v>71</v>
      </c>
      <c r="G94" s="14" t="n">
        <v>750</v>
      </c>
      <c r="H94" s="14" t="n">
        <v>53250</v>
      </c>
      <c r="I94" s="15" t="n">
        <v>5</v>
      </c>
      <c r="J94" s="16" t="n">
        <f aca="false">H94*(1-I94/100)</f>
        <v>50587.5</v>
      </c>
      <c r="K94" s="12" t="n">
        <v>2</v>
      </c>
      <c r="L94" s="12" t="s">
        <v>66</v>
      </c>
      <c r="M94" s="12" t="s">
        <v>50</v>
      </c>
    </row>
    <row r="95" customFormat="false" ht="15" hidden="false" customHeight="true" outlineLevel="0" collapsed="false">
      <c r="A95" s="17" t="s">
        <v>190</v>
      </c>
      <c r="B95" s="18" t="s">
        <v>87</v>
      </c>
      <c r="C95" s="17" t="s">
        <v>79</v>
      </c>
      <c r="D95" s="18" t="s">
        <v>47</v>
      </c>
      <c r="E95" s="18" t="s">
        <v>48</v>
      </c>
      <c r="F95" s="17" t="n">
        <v>151</v>
      </c>
      <c r="G95" s="19" t="n">
        <v>5000</v>
      </c>
      <c r="H95" s="19" t="n">
        <v>755000</v>
      </c>
      <c r="I95" s="20" t="n">
        <v>10</v>
      </c>
      <c r="J95" s="21" t="n">
        <f aca="false">H95*(1-I95/100)</f>
        <v>679500</v>
      </c>
      <c r="K95" s="17" t="n">
        <v>5</v>
      </c>
      <c r="L95" s="17" t="s">
        <v>55</v>
      </c>
      <c r="M95" s="17" t="s">
        <v>50</v>
      </c>
    </row>
    <row r="96" customFormat="false" ht="15" hidden="false" customHeight="true" outlineLevel="0" collapsed="false">
      <c r="A96" s="12" t="s">
        <v>191</v>
      </c>
      <c r="B96" s="13" t="s">
        <v>87</v>
      </c>
      <c r="C96" s="12" t="s">
        <v>81</v>
      </c>
      <c r="D96" s="13" t="s">
        <v>64</v>
      </c>
      <c r="E96" s="13" t="s">
        <v>83</v>
      </c>
      <c r="F96" s="12" t="n">
        <v>101</v>
      </c>
      <c r="G96" s="14" t="n">
        <v>1000</v>
      </c>
      <c r="H96" s="14" t="n">
        <v>101000</v>
      </c>
      <c r="I96" s="15" t="n">
        <v>0</v>
      </c>
      <c r="J96" s="16" t="n">
        <f aca="false">H96*(1-I96/100)</f>
        <v>101000</v>
      </c>
      <c r="K96" s="12" t="n">
        <v>12</v>
      </c>
      <c r="L96" s="12" t="s">
        <v>49</v>
      </c>
      <c r="M96" s="12" t="s">
        <v>50</v>
      </c>
    </row>
    <row r="97" customFormat="false" ht="15" hidden="false" customHeight="true" outlineLevel="0" collapsed="false">
      <c r="A97" s="17" t="s">
        <v>192</v>
      </c>
      <c r="B97" s="18" t="s">
        <v>63</v>
      </c>
      <c r="C97" s="17" t="s">
        <v>46</v>
      </c>
      <c r="D97" s="18" t="s">
        <v>59</v>
      </c>
      <c r="E97" s="18" t="s">
        <v>60</v>
      </c>
      <c r="F97" s="17" t="n">
        <v>159</v>
      </c>
      <c r="G97" s="19" t="n">
        <v>500</v>
      </c>
      <c r="H97" s="19" t="n">
        <v>79500</v>
      </c>
      <c r="I97" s="20" t="n">
        <v>12</v>
      </c>
      <c r="J97" s="21" t="n">
        <f aca="false">H97*(1-I97/100)</f>
        <v>69960</v>
      </c>
      <c r="K97" s="17" t="n">
        <v>8</v>
      </c>
      <c r="L97" s="17" t="s">
        <v>74</v>
      </c>
      <c r="M97" s="17" t="s">
        <v>50</v>
      </c>
    </row>
    <row r="98" customFormat="false" ht="15" hidden="false" customHeight="true" outlineLevel="0" collapsed="false">
      <c r="A98" s="12" t="s">
        <v>193</v>
      </c>
      <c r="B98" s="13" t="s">
        <v>128</v>
      </c>
      <c r="C98" s="12" t="s">
        <v>58</v>
      </c>
      <c r="D98" s="13" t="s">
        <v>95</v>
      </c>
      <c r="E98" s="13" t="s">
        <v>96</v>
      </c>
      <c r="F98" s="12" t="n">
        <v>255</v>
      </c>
      <c r="G98" s="14" t="n">
        <v>3000</v>
      </c>
      <c r="H98" s="14" t="n">
        <v>765000</v>
      </c>
      <c r="I98" s="15" t="n">
        <v>5</v>
      </c>
      <c r="J98" s="16" t="n">
        <f aca="false">H98*(1-I98/100)</f>
        <v>726750</v>
      </c>
      <c r="K98" s="12" t="n">
        <v>3</v>
      </c>
      <c r="L98" s="12" t="s">
        <v>66</v>
      </c>
      <c r="M98" s="12" t="s">
        <v>50</v>
      </c>
    </row>
    <row r="99" customFormat="false" ht="15" hidden="false" customHeight="true" outlineLevel="0" collapsed="false">
      <c r="A99" s="17" t="s">
        <v>194</v>
      </c>
      <c r="B99" s="18" t="s">
        <v>63</v>
      </c>
      <c r="C99" s="17" t="s">
        <v>72</v>
      </c>
      <c r="D99" s="18" t="s">
        <v>59</v>
      </c>
      <c r="E99" s="18" t="s">
        <v>131</v>
      </c>
      <c r="F99" s="17" t="n">
        <v>215</v>
      </c>
      <c r="G99" s="19" t="n">
        <v>3000</v>
      </c>
      <c r="H99" s="19" t="n">
        <v>645000</v>
      </c>
      <c r="I99" s="20" t="n">
        <v>0</v>
      </c>
      <c r="J99" s="21" t="n">
        <f aca="false">H99*(1-I99/100)</f>
        <v>645000</v>
      </c>
      <c r="K99" s="17" t="n">
        <v>10</v>
      </c>
      <c r="L99" s="17" t="s">
        <v>49</v>
      </c>
      <c r="M99" s="17" t="s">
        <v>50</v>
      </c>
    </row>
    <row r="100" customFormat="false" ht="15" hidden="false" customHeight="true" outlineLevel="0" collapsed="false">
      <c r="A100" s="12" t="s">
        <v>195</v>
      </c>
      <c r="B100" s="13" t="s">
        <v>89</v>
      </c>
      <c r="C100" s="12" t="s">
        <v>79</v>
      </c>
      <c r="D100" s="13" t="s">
        <v>53</v>
      </c>
      <c r="E100" s="13" t="s">
        <v>54</v>
      </c>
      <c r="F100" s="12" t="n">
        <v>53</v>
      </c>
      <c r="G100" s="14" t="n">
        <v>750</v>
      </c>
      <c r="H100" s="14" t="n">
        <v>39750</v>
      </c>
      <c r="I100" s="15" t="n">
        <v>0</v>
      </c>
      <c r="J100" s="16" t="n">
        <f aca="false">H100*(1-I100/100)</f>
        <v>39750</v>
      </c>
      <c r="K100" s="12" t="n">
        <v>9</v>
      </c>
      <c r="L100" s="12" t="s">
        <v>74</v>
      </c>
      <c r="M100" s="12" t="s">
        <v>61</v>
      </c>
    </row>
    <row r="101" customFormat="false" ht="15" hidden="false" customHeight="true" outlineLevel="0" collapsed="false">
      <c r="A101" s="17" t="s">
        <v>196</v>
      </c>
      <c r="B101" s="18" t="s">
        <v>111</v>
      </c>
      <c r="C101" s="17" t="s">
        <v>58</v>
      </c>
      <c r="D101" s="18" t="s">
        <v>107</v>
      </c>
      <c r="E101" s="18" t="s">
        <v>135</v>
      </c>
      <c r="F101" s="17" t="n">
        <v>475</v>
      </c>
      <c r="G101" s="19" t="n">
        <v>3000</v>
      </c>
      <c r="H101" s="19" t="n">
        <v>1425000</v>
      </c>
      <c r="I101" s="20" t="n">
        <v>5</v>
      </c>
      <c r="J101" s="21" t="n">
        <f aca="false">H101*(1-I101/100)</f>
        <v>1353750</v>
      </c>
      <c r="K101" s="17" t="n">
        <v>10</v>
      </c>
      <c r="L101" s="17" t="s">
        <v>49</v>
      </c>
      <c r="M101" s="17" t="s">
        <v>61</v>
      </c>
    </row>
    <row r="102" customFormat="false" ht="15" hidden="false" customHeight="true" outlineLevel="0" collapsed="false">
      <c r="A102" s="12" t="s">
        <v>197</v>
      </c>
      <c r="B102" s="13" t="s">
        <v>141</v>
      </c>
      <c r="C102" s="12" t="s">
        <v>58</v>
      </c>
      <c r="D102" s="13" t="s">
        <v>53</v>
      </c>
      <c r="E102" s="13" t="s">
        <v>73</v>
      </c>
      <c r="F102" s="12" t="n">
        <v>322</v>
      </c>
      <c r="G102" s="14" t="n">
        <v>350</v>
      </c>
      <c r="H102" s="14" t="n">
        <v>112700</v>
      </c>
      <c r="I102" s="15" t="n">
        <v>15</v>
      </c>
      <c r="J102" s="16" t="n">
        <f aca="false">H102*(1-I102/100)</f>
        <v>95795</v>
      </c>
      <c r="K102" s="12" t="n">
        <v>4</v>
      </c>
      <c r="L102" s="12" t="s">
        <v>55</v>
      </c>
      <c r="M102" s="12" t="s">
        <v>50</v>
      </c>
    </row>
    <row r="103" customFormat="false" ht="15" hidden="false" customHeight="true" outlineLevel="0" collapsed="false">
      <c r="A103" s="17" t="s">
        <v>198</v>
      </c>
      <c r="B103" s="18" t="s">
        <v>63</v>
      </c>
      <c r="C103" s="17" t="s">
        <v>46</v>
      </c>
      <c r="D103" s="18" t="s">
        <v>64</v>
      </c>
      <c r="E103" s="18" t="s">
        <v>85</v>
      </c>
      <c r="F103" s="17" t="n">
        <v>98</v>
      </c>
      <c r="G103" s="19" t="n">
        <v>5000</v>
      </c>
      <c r="H103" s="19" t="n">
        <v>490000</v>
      </c>
      <c r="I103" s="20" t="n">
        <v>0</v>
      </c>
      <c r="J103" s="21" t="n">
        <f aca="false">H103*(1-I103/100)</f>
        <v>490000</v>
      </c>
      <c r="K103" s="17" t="n">
        <v>3</v>
      </c>
      <c r="L103" s="17" t="s">
        <v>66</v>
      </c>
      <c r="M103" s="17" t="s">
        <v>50</v>
      </c>
    </row>
    <row r="104" customFormat="false" ht="15" hidden="false" customHeight="true" outlineLevel="0" collapsed="false">
      <c r="A104" s="12" t="s">
        <v>199</v>
      </c>
      <c r="B104" s="13" t="s">
        <v>144</v>
      </c>
      <c r="C104" s="12" t="s">
        <v>72</v>
      </c>
      <c r="D104" s="13" t="s">
        <v>47</v>
      </c>
      <c r="E104" s="13" t="s">
        <v>104</v>
      </c>
      <c r="F104" s="12" t="n">
        <v>250</v>
      </c>
      <c r="G104" s="14" t="n">
        <v>1000</v>
      </c>
      <c r="H104" s="14" t="n">
        <v>250000</v>
      </c>
      <c r="I104" s="15" t="n">
        <v>0</v>
      </c>
      <c r="J104" s="16" t="n">
        <f aca="false">H104*(1-I104/100)</f>
        <v>250000</v>
      </c>
      <c r="K104" s="12" t="n">
        <v>4</v>
      </c>
      <c r="L104" s="12" t="s">
        <v>55</v>
      </c>
      <c r="M104" s="12" t="s">
        <v>61</v>
      </c>
    </row>
    <row r="105" customFormat="false" ht="15" hidden="false" customHeight="true" outlineLevel="0" collapsed="false">
      <c r="A105" s="17" t="s">
        <v>200</v>
      </c>
      <c r="B105" s="18" t="s">
        <v>141</v>
      </c>
      <c r="C105" s="17" t="s">
        <v>72</v>
      </c>
      <c r="D105" s="18" t="s">
        <v>59</v>
      </c>
      <c r="E105" s="18" t="s">
        <v>60</v>
      </c>
      <c r="F105" s="17" t="n">
        <v>129</v>
      </c>
      <c r="G105" s="19" t="n">
        <v>1000</v>
      </c>
      <c r="H105" s="19" t="n">
        <v>129000</v>
      </c>
      <c r="I105" s="20" t="n">
        <v>15</v>
      </c>
      <c r="J105" s="21" t="n">
        <f aca="false">H105*(1-I105/100)</f>
        <v>109650</v>
      </c>
      <c r="K105" s="17" t="n">
        <v>11</v>
      </c>
      <c r="L105" s="17" t="s">
        <v>49</v>
      </c>
      <c r="M105" s="17" t="s">
        <v>50</v>
      </c>
    </row>
    <row r="106" customFormat="false" ht="15" hidden="false" customHeight="true" outlineLevel="0" collapsed="false">
      <c r="A106" s="12" t="s">
        <v>201</v>
      </c>
      <c r="B106" s="13" t="s">
        <v>144</v>
      </c>
      <c r="C106" s="12" t="s">
        <v>46</v>
      </c>
      <c r="D106" s="13" t="s">
        <v>53</v>
      </c>
      <c r="E106" s="13" t="s">
        <v>73</v>
      </c>
      <c r="F106" s="12" t="n">
        <v>341</v>
      </c>
      <c r="G106" s="14" t="n">
        <v>500</v>
      </c>
      <c r="H106" s="14" t="n">
        <v>170500</v>
      </c>
      <c r="I106" s="15" t="n">
        <v>5</v>
      </c>
      <c r="J106" s="16" t="n">
        <f aca="false">H106*(1-I106/100)</f>
        <v>161975</v>
      </c>
      <c r="K106" s="12" t="n">
        <v>3</v>
      </c>
      <c r="L106" s="12" t="s">
        <v>66</v>
      </c>
      <c r="M106" s="12" t="s">
        <v>50</v>
      </c>
    </row>
    <row r="107" customFormat="false" ht="15" hidden="false" customHeight="true" outlineLevel="0" collapsed="false">
      <c r="A107" s="17" t="s">
        <v>202</v>
      </c>
      <c r="B107" s="18" t="s">
        <v>71</v>
      </c>
      <c r="C107" s="17" t="s">
        <v>79</v>
      </c>
      <c r="D107" s="18" t="s">
        <v>95</v>
      </c>
      <c r="E107" s="18" t="s">
        <v>139</v>
      </c>
      <c r="F107" s="17" t="n">
        <v>393</v>
      </c>
      <c r="G107" s="19" t="n">
        <v>1000</v>
      </c>
      <c r="H107" s="19" t="n">
        <v>393000</v>
      </c>
      <c r="I107" s="20" t="n">
        <v>8</v>
      </c>
      <c r="J107" s="21" t="n">
        <f aca="false">H107*(1-I107/100)</f>
        <v>361560</v>
      </c>
      <c r="K107" s="17" t="n">
        <v>2</v>
      </c>
      <c r="L107" s="17" t="s">
        <v>66</v>
      </c>
      <c r="M107" s="17" t="s">
        <v>61</v>
      </c>
    </row>
    <row r="108" customFormat="false" ht="15" hidden="false" customHeight="true" outlineLevel="0" collapsed="false">
      <c r="A108" s="12" t="s">
        <v>203</v>
      </c>
      <c r="B108" s="13" t="s">
        <v>141</v>
      </c>
      <c r="C108" s="12" t="s">
        <v>72</v>
      </c>
      <c r="D108" s="13" t="s">
        <v>95</v>
      </c>
      <c r="E108" s="13" t="s">
        <v>139</v>
      </c>
      <c r="F108" s="12" t="n">
        <v>286</v>
      </c>
      <c r="G108" s="14" t="n">
        <v>3000</v>
      </c>
      <c r="H108" s="14" t="n">
        <v>858000</v>
      </c>
      <c r="I108" s="15" t="n">
        <v>8</v>
      </c>
      <c r="J108" s="16" t="n">
        <f aca="false">H108*(1-I108/100)</f>
        <v>789360</v>
      </c>
      <c r="K108" s="12" t="n">
        <v>2</v>
      </c>
      <c r="L108" s="12" t="s">
        <v>66</v>
      </c>
      <c r="M108" s="12" t="s">
        <v>50</v>
      </c>
    </row>
    <row r="109" customFormat="false" ht="15" hidden="false" customHeight="true" outlineLevel="0" collapsed="false">
      <c r="A109" s="17" t="s">
        <v>204</v>
      </c>
      <c r="B109" s="18" t="s">
        <v>144</v>
      </c>
      <c r="C109" s="17" t="s">
        <v>81</v>
      </c>
      <c r="D109" s="18" t="s">
        <v>53</v>
      </c>
      <c r="E109" s="18" t="s">
        <v>54</v>
      </c>
      <c r="F109" s="17" t="n">
        <v>23</v>
      </c>
      <c r="G109" s="19" t="n">
        <v>350</v>
      </c>
      <c r="H109" s="19" t="n">
        <v>8050</v>
      </c>
      <c r="I109" s="20" t="n">
        <v>2</v>
      </c>
      <c r="J109" s="21" t="n">
        <f aca="false">H109*(1-I109/100)</f>
        <v>7889</v>
      </c>
      <c r="K109" s="17" t="n">
        <v>11</v>
      </c>
      <c r="L109" s="17" t="s">
        <v>49</v>
      </c>
      <c r="M109" s="17" t="s">
        <v>50</v>
      </c>
    </row>
    <row r="110" customFormat="false" ht="15" hidden="false" customHeight="true" outlineLevel="0" collapsed="false">
      <c r="A110" s="12" t="s">
        <v>205</v>
      </c>
      <c r="B110" s="13" t="s">
        <v>63</v>
      </c>
      <c r="C110" s="12" t="s">
        <v>58</v>
      </c>
      <c r="D110" s="13" t="s">
        <v>59</v>
      </c>
      <c r="E110" s="13" t="s">
        <v>131</v>
      </c>
      <c r="F110" s="12" t="n">
        <v>250</v>
      </c>
      <c r="G110" s="14" t="n">
        <v>5000</v>
      </c>
      <c r="H110" s="14" t="n">
        <v>1250000</v>
      </c>
      <c r="I110" s="15" t="n">
        <v>12</v>
      </c>
      <c r="J110" s="16" t="n">
        <f aca="false">H110*(1-I110/100)</f>
        <v>1100000</v>
      </c>
      <c r="K110" s="12" t="n">
        <v>8</v>
      </c>
      <c r="L110" s="12" t="s">
        <v>74</v>
      </c>
      <c r="M110" s="12" t="s">
        <v>61</v>
      </c>
    </row>
    <row r="111" customFormat="false" ht="15" hidden="false" customHeight="true" outlineLevel="0" collapsed="false">
      <c r="A111" s="17" t="s">
        <v>206</v>
      </c>
      <c r="B111" s="18" t="s">
        <v>120</v>
      </c>
      <c r="C111" s="17" t="s">
        <v>58</v>
      </c>
      <c r="D111" s="18" t="s">
        <v>107</v>
      </c>
      <c r="E111" s="18" t="s">
        <v>117</v>
      </c>
      <c r="F111" s="17" t="n">
        <v>426</v>
      </c>
      <c r="G111" s="19" t="n">
        <v>3000</v>
      </c>
      <c r="H111" s="19" t="n">
        <v>1278000</v>
      </c>
      <c r="I111" s="20" t="n">
        <v>0</v>
      </c>
      <c r="J111" s="21" t="n">
        <f aca="false">H111*(1-I111/100)</f>
        <v>1278000</v>
      </c>
      <c r="K111" s="17" t="n">
        <v>8</v>
      </c>
      <c r="L111" s="17" t="s">
        <v>74</v>
      </c>
      <c r="M111" s="17" t="s">
        <v>61</v>
      </c>
    </row>
    <row r="112" customFormat="false" ht="15" hidden="false" customHeight="true" outlineLevel="0" collapsed="false">
      <c r="A112" s="12" t="s">
        <v>207</v>
      </c>
      <c r="B112" s="13" t="s">
        <v>144</v>
      </c>
      <c r="C112" s="12" t="s">
        <v>81</v>
      </c>
      <c r="D112" s="13" t="s">
        <v>95</v>
      </c>
      <c r="E112" s="13" t="s">
        <v>139</v>
      </c>
      <c r="F112" s="12" t="n">
        <v>63</v>
      </c>
      <c r="G112" s="14" t="n">
        <v>500</v>
      </c>
      <c r="H112" s="14" t="n">
        <v>31500</v>
      </c>
      <c r="I112" s="15" t="n">
        <v>5</v>
      </c>
      <c r="J112" s="16" t="n">
        <f aca="false">H112*(1-I112/100)</f>
        <v>29925</v>
      </c>
      <c r="K112" s="12" t="n">
        <v>7</v>
      </c>
      <c r="L112" s="12" t="s">
        <v>74</v>
      </c>
      <c r="M112" s="12" t="s">
        <v>61</v>
      </c>
    </row>
    <row r="113" customFormat="false" ht="15" hidden="false" customHeight="true" outlineLevel="0" collapsed="false">
      <c r="A113" s="17" t="s">
        <v>208</v>
      </c>
      <c r="B113" s="18" t="s">
        <v>141</v>
      </c>
      <c r="C113" s="17" t="s">
        <v>72</v>
      </c>
      <c r="D113" s="18" t="s">
        <v>53</v>
      </c>
      <c r="E113" s="18" t="s">
        <v>73</v>
      </c>
      <c r="F113" s="17" t="n">
        <v>242</v>
      </c>
      <c r="G113" s="19" t="n">
        <v>350</v>
      </c>
      <c r="H113" s="19" t="n">
        <v>84700</v>
      </c>
      <c r="I113" s="20" t="n">
        <v>5</v>
      </c>
      <c r="J113" s="21" t="n">
        <f aca="false">H113*(1-I113/100)</f>
        <v>80465</v>
      </c>
      <c r="K113" s="17" t="n">
        <v>5</v>
      </c>
      <c r="L113" s="17" t="s">
        <v>55</v>
      </c>
      <c r="M113" s="17" t="s">
        <v>61</v>
      </c>
    </row>
    <row r="114" customFormat="false" ht="15" hidden="false" customHeight="true" outlineLevel="0" collapsed="false">
      <c r="A114" s="12" t="s">
        <v>209</v>
      </c>
      <c r="B114" s="13" t="s">
        <v>45</v>
      </c>
      <c r="C114" s="12" t="s">
        <v>72</v>
      </c>
      <c r="D114" s="13" t="s">
        <v>53</v>
      </c>
      <c r="E114" s="13" t="s">
        <v>73</v>
      </c>
      <c r="F114" s="12" t="n">
        <v>346</v>
      </c>
      <c r="G114" s="14" t="n">
        <v>5000</v>
      </c>
      <c r="H114" s="14" t="n">
        <v>1730000</v>
      </c>
      <c r="I114" s="15" t="n">
        <v>8</v>
      </c>
      <c r="J114" s="16" t="n">
        <f aca="false">H114*(1-I114/100)</f>
        <v>1591600</v>
      </c>
      <c r="K114" s="12" t="n">
        <v>7</v>
      </c>
      <c r="L114" s="12" t="s">
        <v>74</v>
      </c>
      <c r="M114" s="12" t="s">
        <v>50</v>
      </c>
    </row>
    <row r="115" customFormat="false" ht="15" hidden="false" customHeight="true" outlineLevel="0" collapsed="false">
      <c r="A115" s="17" t="s">
        <v>210</v>
      </c>
      <c r="B115" s="18" t="s">
        <v>87</v>
      </c>
      <c r="C115" s="17" t="s">
        <v>58</v>
      </c>
      <c r="D115" s="18" t="s">
        <v>95</v>
      </c>
      <c r="E115" s="18" t="s">
        <v>139</v>
      </c>
      <c r="F115" s="17" t="n">
        <v>397</v>
      </c>
      <c r="G115" s="19" t="n">
        <v>3000</v>
      </c>
      <c r="H115" s="19" t="n">
        <v>1191000</v>
      </c>
      <c r="I115" s="20" t="n">
        <v>12</v>
      </c>
      <c r="J115" s="21" t="n">
        <f aca="false">H115*(1-I115/100)</f>
        <v>1048080</v>
      </c>
      <c r="K115" s="17" t="n">
        <v>8</v>
      </c>
      <c r="L115" s="17" t="s">
        <v>74</v>
      </c>
      <c r="M115" s="17" t="s">
        <v>50</v>
      </c>
    </row>
    <row r="116" customFormat="false" ht="15" hidden="false" customHeight="true" outlineLevel="0" collapsed="false">
      <c r="A116" s="12" t="s">
        <v>211</v>
      </c>
      <c r="B116" s="13" t="s">
        <v>87</v>
      </c>
      <c r="C116" s="12" t="s">
        <v>81</v>
      </c>
      <c r="D116" s="13" t="s">
        <v>53</v>
      </c>
      <c r="E116" s="13" t="s">
        <v>73</v>
      </c>
      <c r="F116" s="12" t="n">
        <v>484</v>
      </c>
      <c r="G116" s="14" t="n">
        <v>1000</v>
      </c>
      <c r="H116" s="14" t="n">
        <v>484000</v>
      </c>
      <c r="I116" s="15" t="n">
        <v>8</v>
      </c>
      <c r="J116" s="16" t="n">
        <f aca="false">H116*(1-I116/100)</f>
        <v>445280</v>
      </c>
      <c r="K116" s="12" t="n">
        <v>12</v>
      </c>
      <c r="L116" s="12" t="s">
        <v>49</v>
      </c>
      <c r="M116" s="12" t="s">
        <v>61</v>
      </c>
    </row>
    <row r="117" customFormat="false" ht="15" hidden="false" customHeight="true" outlineLevel="0" collapsed="false">
      <c r="A117" s="17" t="s">
        <v>212</v>
      </c>
      <c r="B117" s="18" t="s">
        <v>45</v>
      </c>
      <c r="C117" s="17" t="s">
        <v>46</v>
      </c>
      <c r="D117" s="18" t="s">
        <v>47</v>
      </c>
      <c r="E117" s="18" t="s">
        <v>104</v>
      </c>
      <c r="F117" s="17" t="n">
        <v>419</v>
      </c>
      <c r="G117" s="19" t="n">
        <v>750</v>
      </c>
      <c r="H117" s="19" t="n">
        <v>314250</v>
      </c>
      <c r="I117" s="20" t="n">
        <v>12</v>
      </c>
      <c r="J117" s="21" t="n">
        <f aca="false">H117*(1-I117/100)</f>
        <v>276540</v>
      </c>
      <c r="K117" s="17" t="n">
        <v>3</v>
      </c>
      <c r="L117" s="17" t="s">
        <v>66</v>
      </c>
      <c r="M117" s="17" t="s">
        <v>61</v>
      </c>
    </row>
    <row r="118" customFormat="false" ht="15" hidden="false" customHeight="true" outlineLevel="0" collapsed="false">
      <c r="A118" s="12" t="s">
        <v>213</v>
      </c>
      <c r="B118" s="13" t="s">
        <v>52</v>
      </c>
      <c r="C118" s="12" t="s">
        <v>46</v>
      </c>
      <c r="D118" s="13" t="s">
        <v>53</v>
      </c>
      <c r="E118" s="13" t="s">
        <v>54</v>
      </c>
      <c r="F118" s="12" t="n">
        <v>57</v>
      </c>
      <c r="G118" s="14" t="n">
        <v>750</v>
      </c>
      <c r="H118" s="14" t="n">
        <v>42750</v>
      </c>
      <c r="I118" s="15" t="n">
        <v>15</v>
      </c>
      <c r="J118" s="16" t="n">
        <f aca="false">H118*(1-I118/100)</f>
        <v>36337.5</v>
      </c>
      <c r="K118" s="12" t="n">
        <v>2</v>
      </c>
      <c r="L118" s="12" t="s">
        <v>66</v>
      </c>
      <c r="M118" s="12" t="s">
        <v>61</v>
      </c>
    </row>
    <row r="119" customFormat="false" ht="15" hidden="false" customHeight="true" outlineLevel="0" collapsed="false">
      <c r="A119" s="17" t="s">
        <v>214</v>
      </c>
      <c r="B119" s="18" t="s">
        <v>45</v>
      </c>
      <c r="C119" s="17" t="s">
        <v>79</v>
      </c>
      <c r="D119" s="18" t="s">
        <v>107</v>
      </c>
      <c r="E119" s="18" t="s">
        <v>117</v>
      </c>
      <c r="F119" s="17" t="n">
        <v>159</v>
      </c>
      <c r="G119" s="19" t="n">
        <v>5000</v>
      </c>
      <c r="H119" s="19" t="n">
        <v>795000</v>
      </c>
      <c r="I119" s="20" t="n">
        <v>12</v>
      </c>
      <c r="J119" s="21" t="n">
        <f aca="false">H119*(1-I119/100)</f>
        <v>699600</v>
      </c>
      <c r="K119" s="17" t="n">
        <v>5</v>
      </c>
      <c r="L119" s="17" t="s">
        <v>55</v>
      </c>
      <c r="M119" s="17" t="s">
        <v>61</v>
      </c>
    </row>
    <row r="120" customFormat="false" ht="15" hidden="false" customHeight="true" outlineLevel="0" collapsed="false">
      <c r="A120" s="12" t="s">
        <v>215</v>
      </c>
      <c r="B120" s="13" t="s">
        <v>100</v>
      </c>
      <c r="C120" s="12" t="s">
        <v>72</v>
      </c>
      <c r="D120" s="13" t="s">
        <v>64</v>
      </c>
      <c r="E120" s="13" t="s">
        <v>83</v>
      </c>
      <c r="F120" s="12" t="n">
        <v>292</v>
      </c>
      <c r="G120" s="14" t="n">
        <v>500</v>
      </c>
      <c r="H120" s="14" t="n">
        <v>146000</v>
      </c>
      <c r="I120" s="15" t="n">
        <v>8</v>
      </c>
      <c r="J120" s="16" t="n">
        <f aca="false">H120*(1-I120/100)</f>
        <v>134320</v>
      </c>
      <c r="K120" s="12" t="n">
        <v>4</v>
      </c>
      <c r="L120" s="12" t="s">
        <v>55</v>
      </c>
      <c r="M120" s="12" t="s">
        <v>50</v>
      </c>
    </row>
    <row r="121" customFormat="false" ht="15" hidden="false" customHeight="true" outlineLevel="0" collapsed="false">
      <c r="A121" s="17" t="s">
        <v>216</v>
      </c>
      <c r="B121" s="18" t="s">
        <v>78</v>
      </c>
      <c r="C121" s="17" t="s">
        <v>81</v>
      </c>
      <c r="D121" s="18" t="s">
        <v>107</v>
      </c>
      <c r="E121" s="18" t="s">
        <v>135</v>
      </c>
      <c r="F121" s="17" t="n">
        <v>488</v>
      </c>
      <c r="G121" s="19" t="n">
        <v>5000</v>
      </c>
      <c r="H121" s="19" t="n">
        <v>2440000</v>
      </c>
      <c r="I121" s="20" t="n">
        <v>5</v>
      </c>
      <c r="J121" s="21" t="n">
        <f aca="false">H121*(1-I121/100)</f>
        <v>2318000</v>
      </c>
      <c r="K121" s="17" t="n">
        <v>1</v>
      </c>
      <c r="L121" s="17" t="s">
        <v>66</v>
      </c>
      <c r="M121" s="17" t="s">
        <v>61</v>
      </c>
    </row>
    <row r="122" customFormat="false" ht="15" hidden="false" customHeight="true" outlineLevel="0" collapsed="false">
      <c r="A122" s="12" t="s">
        <v>217</v>
      </c>
      <c r="B122" s="13" t="s">
        <v>141</v>
      </c>
      <c r="C122" s="12" t="s">
        <v>58</v>
      </c>
      <c r="D122" s="13" t="s">
        <v>53</v>
      </c>
      <c r="E122" s="13" t="s">
        <v>129</v>
      </c>
      <c r="F122" s="12" t="n">
        <v>260</v>
      </c>
      <c r="G122" s="14" t="n">
        <v>500</v>
      </c>
      <c r="H122" s="14" t="n">
        <v>130000</v>
      </c>
      <c r="I122" s="15" t="n">
        <v>8</v>
      </c>
      <c r="J122" s="16" t="n">
        <f aca="false">H122*(1-I122/100)</f>
        <v>119600</v>
      </c>
      <c r="K122" s="12" t="n">
        <v>9</v>
      </c>
      <c r="L122" s="12" t="s">
        <v>74</v>
      </c>
      <c r="M122" s="12" t="s">
        <v>61</v>
      </c>
    </row>
    <row r="123" customFormat="false" ht="15" hidden="false" customHeight="true" outlineLevel="0" collapsed="false">
      <c r="A123" s="17" t="s">
        <v>218</v>
      </c>
      <c r="B123" s="18" t="s">
        <v>76</v>
      </c>
      <c r="C123" s="17" t="s">
        <v>81</v>
      </c>
      <c r="D123" s="18" t="s">
        <v>53</v>
      </c>
      <c r="E123" s="18" t="s">
        <v>129</v>
      </c>
      <c r="F123" s="17" t="n">
        <v>203</v>
      </c>
      <c r="G123" s="19" t="n">
        <v>3000</v>
      </c>
      <c r="H123" s="19" t="n">
        <v>609000</v>
      </c>
      <c r="I123" s="20" t="n">
        <v>5</v>
      </c>
      <c r="J123" s="21" t="n">
        <f aca="false">H123*(1-I123/100)</f>
        <v>578550</v>
      </c>
      <c r="K123" s="17" t="n">
        <v>4</v>
      </c>
      <c r="L123" s="17" t="s">
        <v>55</v>
      </c>
      <c r="M123" s="17" t="s">
        <v>50</v>
      </c>
    </row>
    <row r="124" customFormat="false" ht="15" hidden="false" customHeight="true" outlineLevel="0" collapsed="false">
      <c r="A124" s="12" t="s">
        <v>219</v>
      </c>
      <c r="B124" s="13" t="s">
        <v>91</v>
      </c>
      <c r="C124" s="12" t="s">
        <v>79</v>
      </c>
      <c r="D124" s="13" t="s">
        <v>107</v>
      </c>
      <c r="E124" s="13" t="s">
        <v>108</v>
      </c>
      <c r="F124" s="12" t="n">
        <v>172</v>
      </c>
      <c r="G124" s="14" t="n">
        <v>3000</v>
      </c>
      <c r="H124" s="14" t="n">
        <v>516000</v>
      </c>
      <c r="I124" s="15" t="n">
        <v>12</v>
      </c>
      <c r="J124" s="16" t="n">
        <f aca="false">H124*(1-I124/100)</f>
        <v>454080</v>
      </c>
      <c r="K124" s="12" t="n">
        <v>7</v>
      </c>
      <c r="L124" s="12" t="s">
        <v>74</v>
      </c>
      <c r="M124" s="12" t="s">
        <v>61</v>
      </c>
    </row>
    <row r="125" customFormat="false" ht="15" hidden="false" customHeight="true" outlineLevel="0" collapsed="false">
      <c r="A125" s="17" t="s">
        <v>220</v>
      </c>
      <c r="B125" s="18" t="s">
        <v>89</v>
      </c>
      <c r="C125" s="17" t="s">
        <v>72</v>
      </c>
      <c r="D125" s="18" t="s">
        <v>59</v>
      </c>
      <c r="E125" s="18" t="s">
        <v>131</v>
      </c>
      <c r="F125" s="17" t="n">
        <v>267</v>
      </c>
      <c r="G125" s="19" t="n">
        <v>1500</v>
      </c>
      <c r="H125" s="19" t="n">
        <v>400500</v>
      </c>
      <c r="I125" s="20" t="n">
        <v>15</v>
      </c>
      <c r="J125" s="21" t="n">
        <f aca="false">H125*(1-I125/100)</f>
        <v>340425</v>
      </c>
      <c r="K125" s="17" t="n">
        <v>2</v>
      </c>
      <c r="L125" s="17" t="s">
        <v>66</v>
      </c>
      <c r="M125" s="17" t="s">
        <v>61</v>
      </c>
    </row>
    <row r="126" customFormat="false" ht="15" hidden="false" customHeight="true" outlineLevel="0" collapsed="false">
      <c r="A126" s="12" t="s">
        <v>221</v>
      </c>
      <c r="B126" s="13" t="s">
        <v>45</v>
      </c>
      <c r="C126" s="12" t="s">
        <v>58</v>
      </c>
      <c r="D126" s="13" t="s">
        <v>107</v>
      </c>
      <c r="E126" s="13" t="s">
        <v>108</v>
      </c>
      <c r="F126" s="12" t="n">
        <v>379</v>
      </c>
      <c r="G126" s="14" t="n">
        <v>500</v>
      </c>
      <c r="H126" s="14" t="n">
        <v>189500</v>
      </c>
      <c r="I126" s="15" t="n">
        <v>8</v>
      </c>
      <c r="J126" s="16" t="n">
        <f aca="false">H126*(1-I126/100)</f>
        <v>174340</v>
      </c>
      <c r="K126" s="12" t="n">
        <v>11</v>
      </c>
      <c r="L126" s="12" t="s">
        <v>49</v>
      </c>
      <c r="M126" s="12" t="s">
        <v>50</v>
      </c>
    </row>
    <row r="127" customFormat="false" ht="15" hidden="false" customHeight="true" outlineLevel="0" collapsed="false">
      <c r="A127" s="17" t="s">
        <v>222</v>
      </c>
      <c r="B127" s="18" t="s">
        <v>78</v>
      </c>
      <c r="C127" s="17" t="s">
        <v>72</v>
      </c>
      <c r="D127" s="18" t="s">
        <v>95</v>
      </c>
      <c r="E127" s="18" t="s">
        <v>96</v>
      </c>
      <c r="F127" s="17" t="n">
        <v>329</v>
      </c>
      <c r="G127" s="19" t="n">
        <v>2000</v>
      </c>
      <c r="H127" s="19" t="n">
        <v>658000</v>
      </c>
      <c r="I127" s="20" t="n">
        <v>12</v>
      </c>
      <c r="J127" s="21" t="n">
        <f aca="false">H127*(1-I127/100)</f>
        <v>579040</v>
      </c>
      <c r="K127" s="17" t="n">
        <v>2</v>
      </c>
      <c r="L127" s="17" t="s">
        <v>66</v>
      </c>
      <c r="M127" s="17" t="s">
        <v>61</v>
      </c>
    </row>
    <row r="128" customFormat="false" ht="15" hidden="false" customHeight="true" outlineLevel="0" collapsed="false">
      <c r="A128" s="12" t="s">
        <v>223</v>
      </c>
      <c r="B128" s="13" t="s">
        <v>52</v>
      </c>
      <c r="C128" s="12" t="s">
        <v>72</v>
      </c>
      <c r="D128" s="13" t="s">
        <v>95</v>
      </c>
      <c r="E128" s="13" t="s">
        <v>139</v>
      </c>
      <c r="F128" s="12" t="n">
        <v>377</v>
      </c>
      <c r="G128" s="14" t="n">
        <v>3000</v>
      </c>
      <c r="H128" s="14" t="n">
        <v>1131000</v>
      </c>
      <c r="I128" s="15" t="n">
        <v>15</v>
      </c>
      <c r="J128" s="16" t="n">
        <f aca="false">H128*(1-I128/100)</f>
        <v>961350</v>
      </c>
      <c r="K128" s="12" t="n">
        <v>9</v>
      </c>
      <c r="L128" s="12" t="s">
        <v>74</v>
      </c>
      <c r="M128" s="12" t="s">
        <v>50</v>
      </c>
    </row>
    <row r="129" customFormat="false" ht="15" hidden="false" customHeight="true" outlineLevel="0" collapsed="false">
      <c r="A129" s="17" t="s">
        <v>224</v>
      </c>
      <c r="B129" s="18" t="s">
        <v>78</v>
      </c>
      <c r="C129" s="17" t="s">
        <v>79</v>
      </c>
      <c r="D129" s="18" t="s">
        <v>47</v>
      </c>
      <c r="E129" s="18" t="s">
        <v>104</v>
      </c>
      <c r="F129" s="17" t="n">
        <v>481</v>
      </c>
      <c r="G129" s="19" t="n">
        <v>1000</v>
      </c>
      <c r="H129" s="19" t="n">
        <v>481000</v>
      </c>
      <c r="I129" s="20" t="n">
        <v>2</v>
      </c>
      <c r="J129" s="21" t="n">
        <f aca="false">H129*(1-I129/100)</f>
        <v>471380</v>
      </c>
      <c r="K129" s="17" t="n">
        <v>12</v>
      </c>
      <c r="L129" s="17" t="s">
        <v>49</v>
      </c>
      <c r="M129" s="17" t="s">
        <v>50</v>
      </c>
    </row>
    <row r="130" customFormat="false" ht="15" hidden="false" customHeight="true" outlineLevel="0" collapsed="false">
      <c r="A130" s="12" t="s">
        <v>225</v>
      </c>
      <c r="B130" s="13" t="s">
        <v>144</v>
      </c>
      <c r="C130" s="12" t="s">
        <v>46</v>
      </c>
      <c r="D130" s="13" t="s">
        <v>47</v>
      </c>
      <c r="E130" s="13" t="s">
        <v>104</v>
      </c>
      <c r="F130" s="12" t="n">
        <v>456</v>
      </c>
      <c r="G130" s="14" t="n">
        <v>350</v>
      </c>
      <c r="H130" s="14" t="n">
        <v>159600</v>
      </c>
      <c r="I130" s="15" t="n">
        <v>8</v>
      </c>
      <c r="J130" s="16" t="n">
        <f aca="false">H130*(1-I130/100)</f>
        <v>146832</v>
      </c>
      <c r="K130" s="12" t="n">
        <v>3</v>
      </c>
      <c r="L130" s="12" t="s">
        <v>66</v>
      </c>
      <c r="M130" s="12" t="s">
        <v>61</v>
      </c>
    </row>
    <row r="131" customFormat="false" ht="15" hidden="false" customHeight="true" outlineLevel="0" collapsed="false">
      <c r="A131" s="17" t="s">
        <v>226</v>
      </c>
      <c r="B131" s="18" t="s">
        <v>128</v>
      </c>
      <c r="C131" s="17" t="s">
        <v>46</v>
      </c>
      <c r="D131" s="18" t="s">
        <v>95</v>
      </c>
      <c r="E131" s="18" t="s">
        <v>122</v>
      </c>
      <c r="F131" s="17" t="n">
        <v>160</v>
      </c>
      <c r="G131" s="19" t="n">
        <v>1500</v>
      </c>
      <c r="H131" s="19" t="n">
        <v>240000</v>
      </c>
      <c r="I131" s="20" t="n">
        <v>5</v>
      </c>
      <c r="J131" s="21" t="n">
        <f aca="false">H131*(1-I131/100)</f>
        <v>228000</v>
      </c>
      <c r="K131" s="17" t="n">
        <v>7</v>
      </c>
      <c r="L131" s="17" t="s">
        <v>74</v>
      </c>
      <c r="M131" s="17" t="s">
        <v>50</v>
      </c>
    </row>
    <row r="132" customFormat="false" ht="15" hidden="false" customHeight="true" outlineLevel="0" collapsed="false">
      <c r="A132" s="12" t="s">
        <v>227</v>
      </c>
      <c r="B132" s="13" t="s">
        <v>111</v>
      </c>
      <c r="C132" s="12" t="s">
        <v>58</v>
      </c>
      <c r="D132" s="13" t="s">
        <v>107</v>
      </c>
      <c r="E132" s="13" t="s">
        <v>117</v>
      </c>
      <c r="F132" s="12" t="n">
        <v>359</v>
      </c>
      <c r="G132" s="14" t="n">
        <v>500</v>
      </c>
      <c r="H132" s="14" t="n">
        <v>179500</v>
      </c>
      <c r="I132" s="15" t="n">
        <v>2</v>
      </c>
      <c r="J132" s="16" t="n">
        <f aca="false">H132*(1-I132/100)</f>
        <v>175910</v>
      </c>
      <c r="K132" s="12" t="n">
        <v>3</v>
      </c>
      <c r="L132" s="12" t="s">
        <v>66</v>
      </c>
      <c r="M132" s="12" t="s">
        <v>50</v>
      </c>
    </row>
    <row r="133" customFormat="false" ht="15" hidden="false" customHeight="true" outlineLevel="0" collapsed="false">
      <c r="A133" s="17" t="s">
        <v>228</v>
      </c>
      <c r="B133" s="18" t="s">
        <v>91</v>
      </c>
      <c r="C133" s="17" t="s">
        <v>58</v>
      </c>
      <c r="D133" s="18" t="s">
        <v>47</v>
      </c>
      <c r="E133" s="18" t="s">
        <v>146</v>
      </c>
      <c r="F133" s="17" t="n">
        <v>264</v>
      </c>
      <c r="G133" s="19" t="n">
        <v>500</v>
      </c>
      <c r="H133" s="19" t="n">
        <v>132000</v>
      </c>
      <c r="I133" s="20" t="n">
        <v>2</v>
      </c>
      <c r="J133" s="21" t="n">
        <f aca="false">H133*(1-I133/100)</f>
        <v>129360</v>
      </c>
      <c r="K133" s="17" t="n">
        <v>8</v>
      </c>
      <c r="L133" s="17" t="s">
        <v>74</v>
      </c>
      <c r="M133" s="17" t="s">
        <v>61</v>
      </c>
    </row>
    <row r="134" customFormat="false" ht="15" hidden="false" customHeight="true" outlineLevel="0" collapsed="false">
      <c r="A134" s="12" t="s">
        <v>229</v>
      </c>
      <c r="B134" s="13" t="s">
        <v>106</v>
      </c>
      <c r="C134" s="12" t="s">
        <v>81</v>
      </c>
      <c r="D134" s="13" t="s">
        <v>47</v>
      </c>
      <c r="E134" s="13" t="s">
        <v>146</v>
      </c>
      <c r="F134" s="12" t="n">
        <v>470</v>
      </c>
      <c r="G134" s="14" t="n">
        <v>3000</v>
      </c>
      <c r="H134" s="14" t="n">
        <v>1410000</v>
      </c>
      <c r="I134" s="15" t="n">
        <v>5</v>
      </c>
      <c r="J134" s="16" t="n">
        <f aca="false">H134*(1-I134/100)</f>
        <v>1339500</v>
      </c>
      <c r="K134" s="12" t="n">
        <v>11</v>
      </c>
      <c r="L134" s="12" t="s">
        <v>49</v>
      </c>
      <c r="M134" s="12" t="s">
        <v>50</v>
      </c>
    </row>
    <row r="135" customFormat="false" ht="15" hidden="false" customHeight="true" outlineLevel="0" collapsed="false">
      <c r="A135" s="17" t="s">
        <v>230</v>
      </c>
      <c r="B135" s="18" t="s">
        <v>78</v>
      </c>
      <c r="C135" s="17" t="s">
        <v>72</v>
      </c>
      <c r="D135" s="18" t="s">
        <v>95</v>
      </c>
      <c r="E135" s="18" t="s">
        <v>139</v>
      </c>
      <c r="F135" s="17" t="n">
        <v>163</v>
      </c>
      <c r="G135" s="19" t="n">
        <v>2000</v>
      </c>
      <c r="H135" s="19" t="n">
        <v>326000</v>
      </c>
      <c r="I135" s="20" t="n">
        <v>12</v>
      </c>
      <c r="J135" s="21" t="n">
        <f aca="false">H135*(1-I135/100)</f>
        <v>286880</v>
      </c>
      <c r="K135" s="17" t="n">
        <v>5</v>
      </c>
      <c r="L135" s="17" t="s">
        <v>55</v>
      </c>
      <c r="M135" s="17" t="s">
        <v>61</v>
      </c>
    </row>
    <row r="136" customFormat="false" ht="15" hidden="false" customHeight="true" outlineLevel="0" collapsed="false">
      <c r="A136" s="12" t="s">
        <v>231</v>
      </c>
      <c r="B136" s="13" t="s">
        <v>141</v>
      </c>
      <c r="C136" s="12" t="s">
        <v>79</v>
      </c>
      <c r="D136" s="13" t="s">
        <v>107</v>
      </c>
      <c r="E136" s="13" t="s">
        <v>135</v>
      </c>
      <c r="F136" s="12" t="n">
        <v>64</v>
      </c>
      <c r="G136" s="14" t="n">
        <v>750</v>
      </c>
      <c r="H136" s="14" t="n">
        <v>48000</v>
      </c>
      <c r="I136" s="15" t="n">
        <v>8</v>
      </c>
      <c r="J136" s="16" t="n">
        <f aca="false">H136*(1-I136/100)</f>
        <v>44160</v>
      </c>
      <c r="K136" s="12" t="n">
        <v>10</v>
      </c>
      <c r="L136" s="12" t="s">
        <v>49</v>
      </c>
      <c r="M136" s="12" t="s">
        <v>61</v>
      </c>
    </row>
    <row r="137" customFormat="false" ht="15" hidden="false" customHeight="true" outlineLevel="0" collapsed="false">
      <c r="A137" s="17" t="s">
        <v>232</v>
      </c>
      <c r="B137" s="18" t="s">
        <v>141</v>
      </c>
      <c r="C137" s="17" t="s">
        <v>81</v>
      </c>
      <c r="D137" s="18" t="s">
        <v>59</v>
      </c>
      <c r="E137" s="18" t="s">
        <v>60</v>
      </c>
      <c r="F137" s="17" t="n">
        <v>212</v>
      </c>
      <c r="G137" s="19" t="n">
        <v>1000</v>
      </c>
      <c r="H137" s="19" t="n">
        <v>212000</v>
      </c>
      <c r="I137" s="20" t="n">
        <v>0</v>
      </c>
      <c r="J137" s="21" t="n">
        <f aca="false">H137*(1-I137/100)</f>
        <v>212000</v>
      </c>
      <c r="K137" s="17" t="n">
        <v>10</v>
      </c>
      <c r="L137" s="17" t="s">
        <v>49</v>
      </c>
      <c r="M137" s="17" t="s">
        <v>50</v>
      </c>
    </row>
    <row r="138" customFormat="false" ht="15" hidden="false" customHeight="true" outlineLevel="0" collapsed="false">
      <c r="A138" s="12" t="s">
        <v>233</v>
      </c>
      <c r="B138" s="13" t="s">
        <v>100</v>
      </c>
      <c r="C138" s="12" t="s">
        <v>81</v>
      </c>
      <c r="D138" s="13" t="s">
        <v>64</v>
      </c>
      <c r="E138" s="13" t="s">
        <v>65</v>
      </c>
      <c r="F138" s="12" t="n">
        <v>420</v>
      </c>
      <c r="G138" s="14" t="n">
        <v>1500</v>
      </c>
      <c r="H138" s="14" t="n">
        <v>630000</v>
      </c>
      <c r="I138" s="15" t="n">
        <v>2</v>
      </c>
      <c r="J138" s="16" t="n">
        <f aca="false">H138*(1-I138/100)</f>
        <v>617400</v>
      </c>
      <c r="K138" s="12" t="n">
        <v>11</v>
      </c>
      <c r="L138" s="12" t="s">
        <v>49</v>
      </c>
      <c r="M138" s="12" t="s">
        <v>50</v>
      </c>
    </row>
    <row r="139" customFormat="false" ht="15" hidden="false" customHeight="true" outlineLevel="0" collapsed="false">
      <c r="A139" s="17" t="s">
        <v>234</v>
      </c>
      <c r="B139" s="18" t="s">
        <v>63</v>
      </c>
      <c r="C139" s="17" t="s">
        <v>79</v>
      </c>
      <c r="D139" s="18" t="s">
        <v>47</v>
      </c>
      <c r="E139" s="18" t="s">
        <v>146</v>
      </c>
      <c r="F139" s="17" t="n">
        <v>472</v>
      </c>
      <c r="G139" s="19" t="n">
        <v>250</v>
      </c>
      <c r="H139" s="19" t="n">
        <v>118000</v>
      </c>
      <c r="I139" s="20" t="n">
        <v>5</v>
      </c>
      <c r="J139" s="21" t="n">
        <f aca="false">H139*(1-I139/100)</f>
        <v>112100</v>
      </c>
      <c r="K139" s="17" t="n">
        <v>8</v>
      </c>
      <c r="L139" s="17" t="s">
        <v>74</v>
      </c>
      <c r="M139" s="17" t="s">
        <v>50</v>
      </c>
    </row>
    <row r="140" customFormat="false" ht="15" hidden="false" customHeight="true" outlineLevel="0" collapsed="false">
      <c r="A140" s="12" t="s">
        <v>235</v>
      </c>
      <c r="B140" s="13" t="s">
        <v>76</v>
      </c>
      <c r="C140" s="12" t="s">
        <v>79</v>
      </c>
      <c r="D140" s="13" t="s">
        <v>59</v>
      </c>
      <c r="E140" s="13" t="s">
        <v>69</v>
      </c>
      <c r="F140" s="12" t="n">
        <v>177</v>
      </c>
      <c r="G140" s="14" t="n">
        <v>2000</v>
      </c>
      <c r="H140" s="14" t="n">
        <v>354000</v>
      </c>
      <c r="I140" s="15" t="n">
        <v>2</v>
      </c>
      <c r="J140" s="16" t="n">
        <f aca="false">H140*(1-I140/100)</f>
        <v>346920</v>
      </c>
      <c r="K140" s="12" t="n">
        <v>4</v>
      </c>
      <c r="L140" s="12" t="s">
        <v>55</v>
      </c>
      <c r="M140" s="12" t="s">
        <v>50</v>
      </c>
    </row>
    <row r="141" customFormat="false" ht="15" hidden="false" customHeight="true" outlineLevel="0" collapsed="false">
      <c r="A141" s="17" t="s">
        <v>236</v>
      </c>
      <c r="B141" s="18" t="s">
        <v>52</v>
      </c>
      <c r="C141" s="17" t="s">
        <v>81</v>
      </c>
      <c r="D141" s="18" t="s">
        <v>53</v>
      </c>
      <c r="E141" s="18" t="s">
        <v>129</v>
      </c>
      <c r="F141" s="17" t="n">
        <v>477</v>
      </c>
      <c r="G141" s="19" t="n">
        <v>1000</v>
      </c>
      <c r="H141" s="19" t="n">
        <v>477000</v>
      </c>
      <c r="I141" s="20" t="n">
        <v>15</v>
      </c>
      <c r="J141" s="21" t="n">
        <f aca="false">H141*(1-I141/100)</f>
        <v>405450</v>
      </c>
      <c r="K141" s="17" t="n">
        <v>3</v>
      </c>
      <c r="L141" s="17" t="s">
        <v>66</v>
      </c>
      <c r="M141" s="17" t="s">
        <v>61</v>
      </c>
    </row>
    <row r="142" customFormat="false" ht="15" hidden="false" customHeight="true" outlineLevel="0" collapsed="false">
      <c r="A142" s="12" t="s">
        <v>237</v>
      </c>
      <c r="B142" s="13" t="s">
        <v>100</v>
      </c>
      <c r="C142" s="12" t="s">
        <v>81</v>
      </c>
      <c r="D142" s="13" t="s">
        <v>47</v>
      </c>
      <c r="E142" s="13" t="s">
        <v>48</v>
      </c>
      <c r="F142" s="12" t="n">
        <v>421</v>
      </c>
      <c r="G142" s="14" t="n">
        <v>350</v>
      </c>
      <c r="H142" s="14" t="n">
        <v>147350</v>
      </c>
      <c r="I142" s="15" t="n">
        <v>8</v>
      </c>
      <c r="J142" s="16" t="n">
        <f aca="false">H142*(1-I142/100)</f>
        <v>135562</v>
      </c>
      <c r="K142" s="12" t="n">
        <v>2</v>
      </c>
      <c r="L142" s="12" t="s">
        <v>66</v>
      </c>
      <c r="M142" s="12" t="s">
        <v>50</v>
      </c>
    </row>
    <row r="143" customFormat="false" ht="15" hidden="false" customHeight="true" outlineLevel="0" collapsed="false">
      <c r="A143" s="17" t="s">
        <v>238</v>
      </c>
      <c r="B143" s="18" t="s">
        <v>111</v>
      </c>
      <c r="C143" s="17" t="s">
        <v>72</v>
      </c>
      <c r="D143" s="18" t="s">
        <v>53</v>
      </c>
      <c r="E143" s="18" t="s">
        <v>54</v>
      </c>
      <c r="F143" s="17" t="n">
        <v>56</v>
      </c>
      <c r="G143" s="19" t="n">
        <v>2000</v>
      </c>
      <c r="H143" s="19" t="n">
        <v>112000</v>
      </c>
      <c r="I143" s="20" t="n">
        <v>0</v>
      </c>
      <c r="J143" s="21" t="n">
        <f aca="false">H143*(1-I143/100)</f>
        <v>112000</v>
      </c>
      <c r="K143" s="17" t="n">
        <v>5</v>
      </c>
      <c r="L143" s="17" t="s">
        <v>55</v>
      </c>
      <c r="M143" s="17" t="s">
        <v>50</v>
      </c>
    </row>
    <row r="144" customFormat="false" ht="15" hidden="false" customHeight="true" outlineLevel="0" collapsed="false">
      <c r="A144" s="12" t="s">
        <v>239</v>
      </c>
      <c r="B144" s="13" t="s">
        <v>106</v>
      </c>
      <c r="C144" s="12" t="s">
        <v>81</v>
      </c>
      <c r="D144" s="13" t="s">
        <v>47</v>
      </c>
      <c r="E144" s="13" t="s">
        <v>104</v>
      </c>
      <c r="F144" s="12" t="n">
        <v>354</v>
      </c>
      <c r="G144" s="14" t="n">
        <v>1000</v>
      </c>
      <c r="H144" s="14" t="n">
        <v>354000</v>
      </c>
      <c r="I144" s="15" t="n">
        <v>10</v>
      </c>
      <c r="J144" s="16" t="n">
        <f aca="false">H144*(1-I144/100)</f>
        <v>318600</v>
      </c>
      <c r="K144" s="12" t="n">
        <v>7</v>
      </c>
      <c r="L144" s="12" t="s">
        <v>74</v>
      </c>
      <c r="M144" s="12" t="s">
        <v>61</v>
      </c>
    </row>
    <row r="145" customFormat="false" ht="15" hidden="false" customHeight="true" outlineLevel="0" collapsed="false">
      <c r="A145" s="17" t="s">
        <v>240</v>
      </c>
      <c r="B145" s="18" t="s">
        <v>45</v>
      </c>
      <c r="C145" s="17" t="s">
        <v>79</v>
      </c>
      <c r="D145" s="18" t="s">
        <v>107</v>
      </c>
      <c r="E145" s="18" t="s">
        <v>108</v>
      </c>
      <c r="F145" s="17" t="n">
        <v>327</v>
      </c>
      <c r="G145" s="19" t="n">
        <v>5000</v>
      </c>
      <c r="H145" s="19" t="n">
        <v>1635000</v>
      </c>
      <c r="I145" s="20" t="n">
        <v>5</v>
      </c>
      <c r="J145" s="21" t="n">
        <f aca="false">H145*(1-I145/100)</f>
        <v>1553250</v>
      </c>
      <c r="K145" s="17" t="n">
        <v>10</v>
      </c>
      <c r="L145" s="17" t="s">
        <v>49</v>
      </c>
      <c r="M145" s="17" t="s">
        <v>50</v>
      </c>
    </row>
    <row r="146" customFormat="false" ht="15" hidden="false" customHeight="true" outlineLevel="0" collapsed="false">
      <c r="A146" s="12" t="s">
        <v>241</v>
      </c>
      <c r="B146" s="13" t="s">
        <v>78</v>
      </c>
      <c r="C146" s="12" t="s">
        <v>72</v>
      </c>
      <c r="D146" s="13" t="s">
        <v>47</v>
      </c>
      <c r="E146" s="13" t="s">
        <v>48</v>
      </c>
      <c r="F146" s="12" t="n">
        <v>342</v>
      </c>
      <c r="G146" s="14" t="n">
        <v>2000</v>
      </c>
      <c r="H146" s="14" t="n">
        <v>684000</v>
      </c>
      <c r="I146" s="15" t="n">
        <v>0</v>
      </c>
      <c r="J146" s="16" t="n">
        <f aca="false">H146*(1-I146/100)</f>
        <v>684000</v>
      </c>
      <c r="K146" s="12" t="n">
        <v>3</v>
      </c>
      <c r="L146" s="12" t="s">
        <v>66</v>
      </c>
      <c r="M146" s="12" t="s">
        <v>50</v>
      </c>
    </row>
    <row r="147" customFormat="false" ht="15" hidden="false" customHeight="true" outlineLevel="0" collapsed="false">
      <c r="A147" s="17" t="s">
        <v>242</v>
      </c>
      <c r="B147" s="18" t="s">
        <v>71</v>
      </c>
      <c r="C147" s="17" t="s">
        <v>81</v>
      </c>
      <c r="D147" s="18" t="s">
        <v>107</v>
      </c>
      <c r="E147" s="18" t="s">
        <v>108</v>
      </c>
      <c r="F147" s="17" t="n">
        <v>59</v>
      </c>
      <c r="G147" s="19" t="n">
        <v>750</v>
      </c>
      <c r="H147" s="19" t="n">
        <v>44250</v>
      </c>
      <c r="I147" s="20" t="n">
        <v>10</v>
      </c>
      <c r="J147" s="21" t="n">
        <f aca="false">H147*(1-I147/100)</f>
        <v>39825</v>
      </c>
      <c r="K147" s="17" t="n">
        <v>3</v>
      </c>
      <c r="L147" s="17" t="s">
        <v>66</v>
      </c>
      <c r="M147" s="17" t="s">
        <v>61</v>
      </c>
    </row>
    <row r="148" customFormat="false" ht="15" hidden="false" customHeight="true" outlineLevel="0" collapsed="false">
      <c r="A148" s="12" t="s">
        <v>243</v>
      </c>
      <c r="B148" s="13" t="s">
        <v>106</v>
      </c>
      <c r="C148" s="12" t="s">
        <v>81</v>
      </c>
      <c r="D148" s="13" t="s">
        <v>47</v>
      </c>
      <c r="E148" s="13" t="s">
        <v>104</v>
      </c>
      <c r="F148" s="12" t="n">
        <v>366</v>
      </c>
      <c r="G148" s="14" t="n">
        <v>5000</v>
      </c>
      <c r="H148" s="14" t="n">
        <v>1830000</v>
      </c>
      <c r="I148" s="15" t="n">
        <v>8</v>
      </c>
      <c r="J148" s="16" t="n">
        <f aca="false">H148*(1-I148/100)</f>
        <v>1683600</v>
      </c>
      <c r="K148" s="12" t="n">
        <v>10</v>
      </c>
      <c r="L148" s="12" t="s">
        <v>49</v>
      </c>
      <c r="M148" s="12" t="s">
        <v>50</v>
      </c>
    </row>
    <row r="149" customFormat="false" ht="15" hidden="false" customHeight="true" outlineLevel="0" collapsed="false">
      <c r="A149" s="17" t="s">
        <v>244</v>
      </c>
      <c r="B149" s="18" t="s">
        <v>144</v>
      </c>
      <c r="C149" s="17" t="s">
        <v>46</v>
      </c>
      <c r="D149" s="18" t="s">
        <v>107</v>
      </c>
      <c r="E149" s="18" t="s">
        <v>117</v>
      </c>
      <c r="F149" s="17" t="n">
        <v>218</v>
      </c>
      <c r="G149" s="19" t="n">
        <v>1000</v>
      </c>
      <c r="H149" s="19" t="n">
        <v>218000</v>
      </c>
      <c r="I149" s="20" t="n">
        <v>0</v>
      </c>
      <c r="J149" s="21" t="n">
        <f aca="false">H149*(1-I149/100)</f>
        <v>218000</v>
      </c>
      <c r="K149" s="17" t="n">
        <v>12</v>
      </c>
      <c r="L149" s="17" t="s">
        <v>49</v>
      </c>
      <c r="M149" s="17" t="s">
        <v>61</v>
      </c>
    </row>
    <row r="150" customFormat="false" ht="15" hidden="false" customHeight="true" outlineLevel="0" collapsed="false">
      <c r="A150" s="12" t="s">
        <v>245</v>
      </c>
      <c r="B150" s="13" t="s">
        <v>87</v>
      </c>
      <c r="C150" s="12" t="s">
        <v>72</v>
      </c>
      <c r="D150" s="13" t="s">
        <v>107</v>
      </c>
      <c r="E150" s="13" t="s">
        <v>108</v>
      </c>
      <c r="F150" s="12" t="n">
        <v>447</v>
      </c>
      <c r="G150" s="14" t="n">
        <v>1500</v>
      </c>
      <c r="H150" s="14" t="n">
        <v>670500</v>
      </c>
      <c r="I150" s="15" t="n">
        <v>0</v>
      </c>
      <c r="J150" s="16" t="n">
        <f aca="false">H150*(1-I150/100)</f>
        <v>670500</v>
      </c>
      <c r="K150" s="12" t="n">
        <v>11</v>
      </c>
      <c r="L150" s="12" t="s">
        <v>49</v>
      </c>
      <c r="M150" s="12" t="s">
        <v>61</v>
      </c>
    </row>
    <row r="151" customFormat="false" ht="15" hidden="false" customHeight="true" outlineLevel="0" collapsed="false">
      <c r="A151" s="17" t="s">
        <v>246</v>
      </c>
      <c r="B151" s="18" t="s">
        <v>52</v>
      </c>
      <c r="C151" s="17" t="s">
        <v>81</v>
      </c>
      <c r="D151" s="18" t="s">
        <v>59</v>
      </c>
      <c r="E151" s="18" t="s">
        <v>69</v>
      </c>
      <c r="F151" s="17" t="n">
        <v>151</v>
      </c>
      <c r="G151" s="19" t="n">
        <v>750</v>
      </c>
      <c r="H151" s="19" t="n">
        <v>113250</v>
      </c>
      <c r="I151" s="20" t="n">
        <v>0</v>
      </c>
      <c r="J151" s="21" t="n">
        <f aca="false">H151*(1-I151/100)</f>
        <v>113250</v>
      </c>
      <c r="K151" s="17" t="n">
        <v>8</v>
      </c>
      <c r="L151" s="17" t="s">
        <v>74</v>
      </c>
      <c r="M151" s="17" t="s">
        <v>50</v>
      </c>
    </row>
    <row r="152" customFormat="false" ht="15" hidden="false" customHeight="true" outlineLevel="0" collapsed="false">
      <c r="A152" s="12" t="s">
        <v>247</v>
      </c>
      <c r="B152" s="13" t="s">
        <v>87</v>
      </c>
      <c r="C152" s="12" t="s">
        <v>58</v>
      </c>
      <c r="D152" s="13" t="s">
        <v>59</v>
      </c>
      <c r="E152" s="13" t="s">
        <v>131</v>
      </c>
      <c r="F152" s="12" t="n">
        <v>412</v>
      </c>
      <c r="G152" s="14" t="n">
        <v>1500</v>
      </c>
      <c r="H152" s="14" t="n">
        <v>618000</v>
      </c>
      <c r="I152" s="15" t="n">
        <v>2</v>
      </c>
      <c r="J152" s="16" t="n">
        <f aca="false">H152*(1-I152/100)</f>
        <v>605640</v>
      </c>
      <c r="K152" s="12" t="n">
        <v>3</v>
      </c>
      <c r="L152" s="12" t="s">
        <v>66</v>
      </c>
      <c r="M152" s="12" t="s">
        <v>50</v>
      </c>
    </row>
    <row r="153" customFormat="false" ht="15" hidden="false" customHeight="true" outlineLevel="0" collapsed="false">
      <c r="A153" s="17" t="s">
        <v>248</v>
      </c>
      <c r="B153" s="18" t="s">
        <v>78</v>
      </c>
      <c r="C153" s="17" t="s">
        <v>58</v>
      </c>
      <c r="D153" s="18" t="s">
        <v>64</v>
      </c>
      <c r="E153" s="18" t="s">
        <v>65</v>
      </c>
      <c r="F153" s="17" t="n">
        <v>120</v>
      </c>
      <c r="G153" s="19" t="n">
        <v>750</v>
      </c>
      <c r="H153" s="19" t="n">
        <v>90000</v>
      </c>
      <c r="I153" s="20" t="n">
        <v>5</v>
      </c>
      <c r="J153" s="21" t="n">
        <f aca="false">H153*(1-I153/100)</f>
        <v>85500</v>
      </c>
      <c r="K153" s="17" t="n">
        <v>3</v>
      </c>
      <c r="L153" s="17" t="s">
        <v>66</v>
      </c>
      <c r="M153" s="17" t="s">
        <v>50</v>
      </c>
    </row>
    <row r="154" customFormat="false" ht="15" hidden="false" customHeight="true" outlineLevel="0" collapsed="false">
      <c r="A154" s="12" t="s">
        <v>249</v>
      </c>
      <c r="B154" s="13" t="s">
        <v>63</v>
      </c>
      <c r="C154" s="12" t="s">
        <v>79</v>
      </c>
      <c r="D154" s="13" t="s">
        <v>64</v>
      </c>
      <c r="E154" s="13" t="s">
        <v>65</v>
      </c>
      <c r="F154" s="12" t="n">
        <v>138</v>
      </c>
      <c r="G154" s="14" t="n">
        <v>500</v>
      </c>
      <c r="H154" s="14" t="n">
        <v>69000</v>
      </c>
      <c r="I154" s="15" t="n">
        <v>0</v>
      </c>
      <c r="J154" s="16" t="n">
        <f aca="false">H154*(1-I154/100)</f>
        <v>69000</v>
      </c>
      <c r="K154" s="12" t="n">
        <v>11</v>
      </c>
      <c r="L154" s="12" t="s">
        <v>49</v>
      </c>
      <c r="M154" s="12" t="s">
        <v>50</v>
      </c>
    </row>
    <row r="155" customFormat="false" ht="15" hidden="false" customHeight="true" outlineLevel="0" collapsed="false">
      <c r="A155" s="17" t="s">
        <v>250</v>
      </c>
      <c r="B155" s="18" t="s">
        <v>89</v>
      </c>
      <c r="C155" s="17" t="s">
        <v>46</v>
      </c>
      <c r="D155" s="18" t="s">
        <v>95</v>
      </c>
      <c r="E155" s="18" t="s">
        <v>122</v>
      </c>
      <c r="F155" s="17" t="n">
        <v>311</v>
      </c>
      <c r="G155" s="19" t="n">
        <v>1500</v>
      </c>
      <c r="H155" s="19" t="n">
        <v>466500</v>
      </c>
      <c r="I155" s="20" t="n">
        <v>0</v>
      </c>
      <c r="J155" s="21" t="n">
        <f aca="false">H155*(1-I155/100)</f>
        <v>466500</v>
      </c>
      <c r="K155" s="17" t="n">
        <v>3</v>
      </c>
      <c r="L155" s="17" t="s">
        <v>66</v>
      </c>
      <c r="M155" s="17" t="s">
        <v>61</v>
      </c>
    </row>
    <row r="156" customFormat="false" ht="15" hidden="false" customHeight="true" outlineLevel="0" collapsed="false">
      <c r="A156" s="12" t="s">
        <v>251</v>
      </c>
      <c r="B156" s="13" t="s">
        <v>71</v>
      </c>
      <c r="C156" s="12" t="s">
        <v>79</v>
      </c>
      <c r="D156" s="13" t="s">
        <v>47</v>
      </c>
      <c r="E156" s="13" t="s">
        <v>48</v>
      </c>
      <c r="F156" s="12" t="n">
        <v>279</v>
      </c>
      <c r="G156" s="14" t="n">
        <v>350</v>
      </c>
      <c r="H156" s="14" t="n">
        <v>97650</v>
      </c>
      <c r="I156" s="15" t="n">
        <v>12</v>
      </c>
      <c r="J156" s="16" t="n">
        <f aca="false">H156*(1-I156/100)</f>
        <v>85932</v>
      </c>
      <c r="K156" s="12" t="n">
        <v>2</v>
      </c>
      <c r="L156" s="12" t="s">
        <v>66</v>
      </c>
      <c r="M156" s="12" t="s">
        <v>61</v>
      </c>
    </row>
    <row r="157" customFormat="false" ht="15" hidden="false" customHeight="true" outlineLevel="0" collapsed="false">
      <c r="A157" s="17" t="s">
        <v>252</v>
      </c>
      <c r="B157" s="18" t="s">
        <v>106</v>
      </c>
      <c r="C157" s="17" t="s">
        <v>81</v>
      </c>
      <c r="D157" s="18" t="s">
        <v>53</v>
      </c>
      <c r="E157" s="18" t="s">
        <v>129</v>
      </c>
      <c r="F157" s="17" t="n">
        <v>65</v>
      </c>
      <c r="G157" s="19" t="n">
        <v>3000</v>
      </c>
      <c r="H157" s="19" t="n">
        <v>195000</v>
      </c>
      <c r="I157" s="20" t="n">
        <v>10</v>
      </c>
      <c r="J157" s="21" t="n">
        <f aca="false">H157*(1-I157/100)</f>
        <v>175500</v>
      </c>
      <c r="K157" s="17" t="n">
        <v>4</v>
      </c>
      <c r="L157" s="17" t="s">
        <v>55</v>
      </c>
      <c r="M157" s="17" t="s">
        <v>50</v>
      </c>
    </row>
    <row r="158" customFormat="false" ht="15" hidden="false" customHeight="true" outlineLevel="0" collapsed="false">
      <c r="A158" s="12" t="s">
        <v>253</v>
      </c>
      <c r="B158" s="13" t="s">
        <v>57</v>
      </c>
      <c r="C158" s="12" t="s">
        <v>81</v>
      </c>
      <c r="D158" s="13" t="s">
        <v>107</v>
      </c>
      <c r="E158" s="13" t="s">
        <v>117</v>
      </c>
      <c r="F158" s="12" t="n">
        <v>25</v>
      </c>
      <c r="G158" s="14" t="n">
        <v>250</v>
      </c>
      <c r="H158" s="14" t="n">
        <v>6250</v>
      </c>
      <c r="I158" s="15" t="n">
        <v>8</v>
      </c>
      <c r="J158" s="16" t="n">
        <f aca="false">H158*(1-I158/100)</f>
        <v>5750</v>
      </c>
      <c r="K158" s="12" t="n">
        <v>7</v>
      </c>
      <c r="L158" s="12" t="s">
        <v>74</v>
      </c>
      <c r="M158" s="12" t="s">
        <v>61</v>
      </c>
    </row>
    <row r="159" customFormat="false" ht="15" hidden="false" customHeight="true" outlineLevel="0" collapsed="false">
      <c r="A159" s="17" t="s">
        <v>254</v>
      </c>
      <c r="B159" s="18" t="s">
        <v>45</v>
      </c>
      <c r="C159" s="17" t="s">
        <v>72</v>
      </c>
      <c r="D159" s="18" t="s">
        <v>47</v>
      </c>
      <c r="E159" s="18" t="s">
        <v>48</v>
      </c>
      <c r="F159" s="17" t="n">
        <v>47</v>
      </c>
      <c r="G159" s="19" t="n">
        <v>350</v>
      </c>
      <c r="H159" s="19" t="n">
        <v>16450</v>
      </c>
      <c r="I159" s="20" t="n">
        <v>5</v>
      </c>
      <c r="J159" s="21" t="n">
        <f aca="false">H159*(1-I159/100)</f>
        <v>15627.5</v>
      </c>
      <c r="K159" s="17" t="n">
        <v>10</v>
      </c>
      <c r="L159" s="17" t="s">
        <v>49</v>
      </c>
      <c r="M159" s="17" t="s">
        <v>50</v>
      </c>
    </row>
    <row r="160" customFormat="false" ht="15" hidden="false" customHeight="true" outlineLevel="0" collapsed="false">
      <c r="A160" s="12" t="s">
        <v>255</v>
      </c>
      <c r="B160" s="13" t="s">
        <v>78</v>
      </c>
      <c r="C160" s="12" t="s">
        <v>79</v>
      </c>
      <c r="D160" s="13" t="s">
        <v>95</v>
      </c>
      <c r="E160" s="13" t="s">
        <v>139</v>
      </c>
      <c r="F160" s="12" t="n">
        <v>334</v>
      </c>
      <c r="G160" s="14" t="n">
        <v>5000</v>
      </c>
      <c r="H160" s="14" t="n">
        <v>1670000</v>
      </c>
      <c r="I160" s="15" t="n">
        <v>12</v>
      </c>
      <c r="J160" s="16" t="n">
        <f aca="false">H160*(1-I160/100)</f>
        <v>1469600</v>
      </c>
      <c r="K160" s="12" t="n">
        <v>6</v>
      </c>
      <c r="L160" s="12" t="s">
        <v>55</v>
      </c>
      <c r="M160" s="12" t="s">
        <v>61</v>
      </c>
    </row>
    <row r="161" customFormat="false" ht="15" hidden="false" customHeight="true" outlineLevel="0" collapsed="false">
      <c r="A161" s="17" t="s">
        <v>256</v>
      </c>
      <c r="B161" s="18" t="s">
        <v>57</v>
      </c>
      <c r="C161" s="17" t="s">
        <v>81</v>
      </c>
      <c r="D161" s="18" t="s">
        <v>107</v>
      </c>
      <c r="E161" s="18" t="s">
        <v>117</v>
      </c>
      <c r="F161" s="17" t="n">
        <v>319</v>
      </c>
      <c r="G161" s="19" t="n">
        <v>2000</v>
      </c>
      <c r="H161" s="19" t="n">
        <v>638000</v>
      </c>
      <c r="I161" s="20" t="n">
        <v>0</v>
      </c>
      <c r="J161" s="21" t="n">
        <f aca="false">H161*(1-I161/100)</f>
        <v>638000</v>
      </c>
      <c r="K161" s="17" t="n">
        <v>12</v>
      </c>
      <c r="L161" s="17" t="s">
        <v>49</v>
      </c>
      <c r="M161" s="17" t="s">
        <v>50</v>
      </c>
    </row>
    <row r="162" customFormat="false" ht="15" hidden="false" customHeight="true" outlineLevel="0" collapsed="false">
      <c r="A162" s="12" t="s">
        <v>257</v>
      </c>
      <c r="B162" s="13" t="s">
        <v>52</v>
      </c>
      <c r="C162" s="12" t="s">
        <v>79</v>
      </c>
      <c r="D162" s="13" t="s">
        <v>107</v>
      </c>
      <c r="E162" s="13" t="s">
        <v>135</v>
      </c>
      <c r="F162" s="12" t="n">
        <v>464</v>
      </c>
      <c r="G162" s="14" t="n">
        <v>750</v>
      </c>
      <c r="H162" s="14" t="n">
        <v>348000</v>
      </c>
      <c r="I162" s="15" t="n">
        <v>8</v>
      </c>
      <c r="J162" s="16" t="n">
        <f aca="false">H162*(1-I162/100)</f>
        <v>320160</v>
      </c>
      <c r="K162" s="12" t="n">
        <v>6</v>
      </c>
      <c r="L162" s="12" t="s">
        <v>55</v>
      </c>
      <c r="M162" s="12" t="s">
        <v>61</v>
      </c>
    </row>
    <row r="163" customFormat="false" ht="15" hidden="false" customHeight="true" outlineLevel="0" collapsed="false">
      <c r="A163" s="17" t="s">
        <v>258</v>
      </c>
      <c r="B163" s="18" t="s">
        <v>91</v>
      </c>
      <c r="C163" s="17" t="s">
        <v>72</v>
      </c>
      <c r="D163" s="18" t="s">
        <v>47</v>
      </c>
      <c r="E163" s="18" t="s">
        <v>146</v>
      </c>
      <c r="F163" s="17" t="n">
        <v>170</v>
      </c>
      <c r="G163" s="19" t="n">
        <v>2000</v>
      </c>
      <c r="H163" s="19" t="n">
        <v>340000</v>
      </c>
      <c r="I163" s="20" t="n">
        <v>5</v>
      </c>
      <c r="J163" s="21" t="n">
        <f aca="false">H163*(1-I163/100)</f>
        <v>323000</v>
      </c>
      <c r="K163" s="17" t="n">
        <v>11</v>
      </c>
      <c r="L163" s="17" t="s">
        <v>49</v>
      </c>
      <c r="M163" s="17" t="s">
        <v>61</v>
      </c>
    </row>
    <row r="164" customFormat="false" ht="15" hidden="false" customHeight="true" outlineLevel="0" collapsed="false">
      <c r="A164" s="12" t="s">
        <v>259</v>
      </c>
      <c r="B164" s="13" t="s">
        <v>76</v>
      </c>
      <c r="C164" s="12" t="s">
        <v>79</v>
      </c>
      <c r="D164" s="13" t="s">
        <v>47</v>
      </c>
      <c r="E164" s="13" t="s">
        <v>48</v>
      </c>
      <c r="F164" s="12" t="n">
        <v>44</v>
      </c>
      <c r="G164" s="14" t="n">
        <v>350</v>
      </c>
      <c r="H164" s="14" t="n">
        <v>15400</v>
      </c>
      <c r="I164" s="15" t="n">
        <v>15</v>
      </c>
      <c r="J164" s="16" t="n">
        <f aca="false">H164*(1-I164/100)</f>
        <v>13090</v>
      </c>
      <c r="K164" s="12" t="n">
        <v>2</v>
      </c>
      <c r="L164" s="12" t="s">
        <v>66</v>
      </c>
      <c r="M164" s="12" t="s">
        <v>50</v>
      </c>
    </row>
    <row r="165" customFormat="false" ht="15" hidden="false" customHeight="true" outlineLevel="0" collapsed="false">
      <c r="A165" s="17" t="s">
        <v>260</v>
      </c>
      <c r="B165" s="18" t="s">
        <v>144</v>
      </c>
      <c r="C165" s="17" t="s">
        <v>46</v>
      </c>
      <c r="D165" s="18" t="s">
        <v>47</v>
      </c>
      <c r="E165" s="18" t="s">
        <v>104</v>
      </c>
      <c r="F165" s="17" t="n">
        <v>200</v>
      </c>
      <c r="G165" s="19" t="n">
        <v>500</v>
      </c>
      <c r="H165" s="19" t="n">
        <v>100000</v>
      </c>
      <c r="I165" s="20" t="n">
        <v>10</v>
      </c>
      <c r="J165" s="21" t="n">
        <f aca="false">H165*(1-I165/100)</f>
        <v>90000</v>
      </c>
      <c r="K165" s="17" t="n">
        <v>1</v>
      </c>
      <c r="L165" s="17" t="s">
        <v>66</v>
      </c>
      <c r="M165" s="17" t="s">
        <v>61</v>
      </c>
    </row>
    <row r="166" customFormat="false" ht="15" hidden="false" customHeight="true" outlineLevel="0" collapsed="false">
      <c r="A166" s="12" t="s">
        <v>261</v>
      </c>
      <c r="B166" s="13" t="s">
        <v>45</v>
      </c>
      <c r="C166" s="12" t="s">
        <v>72</v>
      </c>
      <c r="D166" s="13" t="s">
        <v>95</v>
      </c>
      <c r="E166" s="13" t="s">
        <v>139</v>
      </c>
      <c r="F166" s="12" t="n">
        <v>491</v>
      </c>
      <c r="G166" s="14" t="n">
        <v>2000</v>
      </c>
      <c r="H166" s="14" t="n">
        <v>982000</v>
      </c>
      <c r="I166" s="15" t="n">
        <v>15</v>
      </c>
      <c r="J166" s="16" t="n">
        <f aca="false">H166*(1-I166/100)</f>
        <v>834700</v>
      </c>
      <c r="K166" s="12" t="n">
        <v>12</v>
      </c>
      <c r="L166" s="12" t="s">
        <v>49</v>
      </c>
      <c r="M166" s="12" t="s">
        <v>50</v>
      </c>
    </row>
    <row r="167" customFormat="false" ht="15" hidden="false" customHeight="true" outlineLevel="0" collapsed="false">
      <c r="A167" s="17" t="s">
        <v>262</v>
      </c>
      <c r="B167" s="18" t="s">
        <v>141</v>
      </c>
      <c r="C167" s="17" t="s">
        <v>58</v>
      </c>
      <c r="D167" s="18" t="s">
        <v>95</v>
      </c>
      <c r="E167" s="18" t="s">
        <v>96</v>
      </c>
      <c r="F167" s="17" t="n">
        <v>63</v>
      </c>
      <c r="G167" s="19" t="n">
        <v>5000</v>
      </c>
      <c r="H167" s="19" t="n">
        <v>315000</v>
      </c>
      <c r="I167" s="20" t="n">
        <v>2</v>
      </c>
      <c r="J167" s="21" t="n">
        <f aca="false">H167*(1-I167/100)</f>
        <v>308700</v>
      </c>
      <c r="K167" s="17" t="n">
        <v>3</v>
      </c>
      <c r="L167" s="17" t="s">
        <v>66</v>
      </c>
      <c r="M167" s="17" t="s">
        <v>61</v>
      </c>
    </row>
    <row r="168" customFormat="false" ht="15" hidden="false" customHeight="true" outlineLevel="0" collapsed="false">
      <c r="A168" s="12" t="s">
        <v>263</v>
      </c>
      <c r="B168" s="13" t="s">
        <v>111</v>
      </c>
      <c r="C168" s="12" t="s">
        <v>46</v>
      </c>
      <c r="D168" s="13" t="s">
        <v>95</v>
      </c>
      <c r="E168" s="13" t="s">
        <v>139</v>
      </c>
      <c r="F168" s="12" t="n">
        <v>198</v>
      </c>
      <c r="G168" s="14" t="n">
        <v>350</v>
      </c>
      <c r="H168" s="14" t="n">
        <v>69300</v>
      </c>
      <c r="I168" s="15" t="n">
        <v>15</v>
      </c>
      <c r="J168" s="16" t="n">
        <f aca="false">H168*(1-I168/100)</f>
        <v>58905</v>
      </c>
      <c r="K168" s="12" t="n">
        <v>5</v>
      </c>
      <c r="L168" s="12" t="s">
        <v>55</v>
      </c>
      <c r="M168" s="12" t="s">
        <v>50</v>
      </c>
    </row>
    <row r="169" customFormat="false" ht="15" hidden="false" customHeight="true" outlineLevel="0" collapsed="false">
      <c r="A169" s="17" t="s">
        <v>264</v>
      </c>
      <c r="B169" s="18" t="s">
        <v>144</v>
      </c>
      <c r="C169" s="17" t="s">
        <v>58</v>
      </c>
      <c r="D169" s="18" t="s">
        <v>53</v>
      </c>
      <c r="E169" s="18" t="s">
        <v>129</v>
      </c>
      <c r="F169" s="17" t="n">
        <v>355</v>
      </c>
      <c r="G169" s="19" t="n">
        <v>5000</v>
      </c>
      <c r="H169" s="19" t="n">
        <v>1775000</v>
      </c>
      <c r="I169" s="20" t="n">
        <v>0</v>
      </c>
      <c r="J169" s="21" t="n">
        <f aca="false">H169*(1-I169/100)</f>
        <v>1775000</v>
      </c>
      <c r="K169" s="17" t="n">
        <v>10</v>
      </c>
      <c r="L169" s="17" t="s">
        <v>49</v>
      </c>
      <c r="M169" s="17" t="s">
        <v>61</v>
      </c>
    </row>
    <row r="170" customFormat="false" ht="15" hidden="false" customHeight="true" outlineLevel="0" collapsed="false">
      <c r="A170" s="12" t="s">
        <v>265</v>
      </c>
      <c r="B170" s="13" t="s">
        <v>128</v>
      </c>
      <c r="C170" s="12" t="s">
        <v>79</v>
      </c>
      <c r="D170" s="13" t="s">
        <v>95</v>
      </c>
      <c r="E170" s="13" t="s">
        <v>139</v>
      </c>
      <c r="F170" s="12" t="n">
        <v>400</v>
      </c>
      <c r="G170" s="14" t="n">
        <v>1000</v>
      </c>
      <c r="H170" s="14" t="n">
        <v>400000</v>
      </c>
      <c r="I170" s="15" t="n">
        <v>5</v>
      </c>
      <c r="J170" s="16" t="n">
        <f aca="false">H170*(1-I170/100)</f>
        <v>380000</v>
      </c>
      <c r="K170" s="12" t="n">
        <v>6</v>
      </c>
      <c r="L170" s="12" t="s">
        <v>55</v>
      </c>
      <c r="M170" s="12" t="s">
        <v>50</v>
      </c>
    </row>
    <row r="171" customFormat="false" ht="15" hidden="false" customHeight="true" outlineLevel="0" collapsed="false">
      <c r="A171" s="17" t="s">
        <v>266</v>
      </c>
      <c r="B171" s="18" t="s">
        <v>120</v>
      </c>
      <c r="C171" s="17" t="s">
        <v>79</v>
      </c>
      <c r="D171" s="18" t="s">
        <v>53</v>
      </c>
      <c r="E171" s="18" t="s">
        <v>129</v>
      </c>
      <c r="F171" s="17" t="n">
        <v>215</v>
      </c>
      <c r="G171" s="19" t="n">
        <v>350</v>
      </c>
      <c r="H171" s="19" t="n">
        <v>75250</v>
      </c>
      <c r="I171" s="20" t="n">
        <v>2</v>
      </c>
      <c r="J171" s="21" t="n">
        <f aca="false">H171*(1-I171/100)</f>
        <v>73745</v>
      </c>
      <c r="K171" s="17" t="n">
        <v>12</v>
      </c>
      <c r="L171" s="17" t="s">
        <v>49</v>
      </c>
      <c r="M171" s="17" t="s">
        <v>50</v>
      </c>
    </row>
    <row r="172" customFormat="false" ht="15" hidden="false" customHeight="true" outlineLevel="0" collapsed="false">
      <c r="A172" s="12" t="s">
        <v>267</v>
      </c>
      <c r="B172" s="13" t="s">
        <v>78</v>
      </c>
      <c r="C172" s="12" t="s">
        <v>58</v>
      </c>
      <c r="D172" s="13" t="s">
        <v>64</v>
      </c>
      <c r="E172" s="13" t="s">
        <v>83</v>
      </c>
      <c r="F172" s="12" t="n">
        <v>224</v>
      </c>
      <c r="G172" s="14" t="n">
        <v>3000</v>
      </c>
      <c r="H172" s="14" t="n">
        <v>672000</v>
      </c>
      <c r="I172" s="15" t="n">
        <v>5</v>
      </c>
      <c r="J172" s="16" t="n">
        <f aca="false">H172*(1-I172/100)</f>
        <v>638400</v>
      </c>
      <c r="K172" s="12" t="n">
        <v>3</v>
      </c>
      <c r="L172" s="12" t="s">
        <v>66</v>
      </c>
      <c r="M172" s="12" t="s">
        <v>61</v>
      </c>
    </row>
    <row r="173" customFormat="false" ht="15" hidden="false" customHeight="true" outlineLevel="0" collapsed="false">
      <c r="A173" s="17" t="s">
        <v>268</v>
      </c>
      <c r="B173" s="18" t="s">
        <v>141</v>
      </c>
      <c r="C173" s="17" t="s">
        <v>81</v>
      </c>
      <c r="D173" s="18" t="s">
        <v>53</v>
      </c>
      <c r="E173" s="18" t="s">
        <v>129</v>
      </c>
      <c r="F173" s="17" t="n">
        <v>53</v>
      </c>
      <c r="G173" s="19" t="n">
        <v>250</v>
      </c>
      <c r="H173" s="19" t="n">
        <v>13250</v>
      </c>
      <c r="I173" s="20" t="n">
        <v>2</v>
      </c>
      <c r="J173" s="21" t="n">
        <f aca="false">H173*(1-I173/100)</f>
        <v>12985</v>
      </c>
      <c r="K173" s="17" t="n">
        <v>3</v>
      </c>
      <c r="L173" s="17" t="s">
        <v>66</v>
      </c>
      <c r="M173" s="17" t="s">
        <v>50</v>
      </c>
    </row>
    <row r="174" customFormat="false" ht="15" hidden="false" customHeight="true" outlineLevel="0" collapsed="false">
      <c r="A174" s="12" t="s">
        <v>269</v>
      </c>
      <c r="B174" s="13" t="s">
        <v>78</v>
      </c>
      <c r="C174" s="12" t="s">
        <v>81</v>
      </c>
      <c r="D174" s="13" t="s">
        <v>107</v>
      </c>
      <c r="E174" s="13" t="s">
        <v>117</v>
      </c>
      <c r="F174" s="12" t="n">
        <v>227</v>
      </c>
      <c r="G174" s="14" t="n">
        <v>3000</v>
      </c>
      <c r="H174" s="14" t="n">
        <v>681000</v>
      </c>
      <c r="I174" s="15" t="n">
        <v>10</v>
      </c>
      <c r="J174" s="16" t="n">
        <f aca="false">H174*(1-I174/100)</f>
        <v>612900</v>
      </c>
      <c r="K174" s="12" t="n">
        <v>8</v>
      </c>
      <c r="L174" s="12" t="s">
        <v>74</v>
      </c>
      <c r="M174" s="12" t="s">
        <v>61</v>
      </c>
    </row>
    <row r="175" customFormat="false" ht="15" hidden="false" customHeight="true" outlineLevel="0" collapsed="false">
      <c r="A175" s="17" t="s">
        <v>270</v>
      </c>
      <c r="B175" s="18" t="s">
        <v>63</v>
      </c>
      <c r="C175" s="17" t="s">
        <v>79</v>
      </c>
      <c r="D175" s="18" t="s">
        <v>53</v>
      </c>
      <c r="E175" s="18" t="s">
        <v>73</v>
      </c>
      <c r="F175" s="17" t="n">
        <v>186</v>
      </c>
      <c r="G175" s="19" t="n">
        <v>2000</v>
      </c>
      <c r="H175" s="19" t="n">
        <v>372000</v>
      </c>
      <c r="I175" s="20" t="n">
        <v>0</v>
      </c>
      <c r="J175" s="21" t="n">
        <f aca="false">H175*(1-I175/100)</f>
        <v>372000</v>
      </c>
      <c r="K175" s="17" t="n">
        <v>5</v>
      </c>
      <c r="L175" s="17" t="s">
        <v>55</v>
      </c>
      <c r="M175" s="17" t="s">
        <v>61</v>
      </c>
    </row>
    <row r="176" customFormat="false" ht="15" hidden="false" customHeight="true" outlineLevel="0" collapsed="false">
      <c r="A176" s="12" t="s">
        <v>271</v>
      </c>
      <c r="B176" s="13" t="s">
        <v>57</v>
      </c>
      <c r="C176" s="12" t="s">
        <v>81</v>
      </c>
      <c r="D176" s="13" t="s">
        <v>59</v>
      </c>
      <c r="E176" s="13" t="s">
        <v>131</v>
      </c>
      <c r="F176" s="12" t="n">
        <v>212</v>
      </c>
      <c r="G176" s="14" t="n">
        <v>250</v>
      </c>
      <c r="H176" s="14" t="n">
        <v>53000</v>
      </c>
      <c r="I176" s="15" t="n">
        <v>0</v>
      </c>
      <c r="J176" s="16" t="n">
        <f aca="false">H176*(1-I176/100)</f>
        <v>53000</v>
      </c>
      <c r="K176" s="12" t="n">
        <v>4</v>
      </c>
      <c r="L176" s="12" t="s">
        <v>55</v>
      </c>
      <c r="M176" s="12" t="s">
        <v>61</v>
      </c>
    </row>
    <row r="177" customFormat="false" ht="15" hidden="false" customHeight="true" outlineLevel="0" collapsed="false">
      <c r="A177" s="17" t="s">
        <v>272</v>
      </c>
      <c r="B177" s="18" t="s">
        <v>87</v>
      </c>
      <c r="C177" s="17" t="s">
        <v>79</v>
      </c>
      <c r="D177" s="18" t="s">
        <v>95</v>
      </c>
      <c r="E177" s="18" t="s">
        <v>96</v>
      </c>
      <c r="F177" s="17" t="n">
        <v>177</v>
      </c>
      <c r="G177" s="19" t="n">
        <v>350</v>
      </c>
      <c r="H177" s="19" t="n">
        <v>61950</v>
      </c>
      <c r="I177" s="20" t="n">
        <v>0</v>
      </c>
      <c r="J177" s="21" t="n">
        <f aca="false">H177*(1-I177/100)</f>
        <v>61950</v>
      </c>
      <c r="K177" s="17" t="n">
        <v>8</v>
      </c>
      <c r="L177" s="17" t="s">
        <v>74</v>
      </c>
      <c r="M177" s="17" t="s">
        <v>61</v>
      </c>
    </row>
    <row r="178" customFormat="false" ht="15" hidden="false" customHeight="true" outlineLevel="0" collapsed="false">
      <c r="A178" s="12" t="s">
        <v>273</v>
      </c>
      <c r="B178" s="13" t="s">
        <v>120</v>
      </c>
      <c r="C178" s="12" t="s">
        <v>79</v>
      </c>
      <c r="D178" s="13" t="s">
        <v>107</v>
      </c>
      <c r="E178" s="13" t="s">
        <v>117</v>
      </c>
      <c r="F178" s="12" t="n">
        <v>370</v>
      </c>
      <c r="G178" s="14" t="n">
        <v>750</v>
      </c>
      <c r="H178" s="14" t="n">
        <v>277500</v>
      </c>
      <c r="I178" s="15" t="n">
        <v>10</v>
      </c>
      <c r="J178" s="16" t="n">
        <f aca="false">H178*(1-I178/100)</f>
        <v>249750</v>
      </c>
      <c r="K178" s="12" t="n">
        <v>9</v>
      </c>
      <c r="L178" s="12" t="s">
        <v>74</v>
      </c>
      <c r="M178" s="12" t="s">
        <v>61</v>
      </c>
    </row>
    <row r="179" customFormat="false" ht="15" hidden="false" customHeight="true" outlineLevel="0" collapsed="false">
      <c r="A179" s="17" t="s">
        <v>274</v>
      </c>
      <c r="B179" s="18" t="s">
        <v>78</v>
      </c>
      <c r="C179" s="17" t="s">
        <v>72</v>
      </c>
      <c r="D179" s="18" t="s">
        <v>47</v>
      </c>
      <c r="E179" s="18" t="s">
        <v>146</v>
      </c>
      <c r="F179" s="17" t="n">
        <v>233</v>
      </c>
      <c r="G179" s="19" t="n">
        <v>250</v>
      </c>
      <c r="H179" s="19" t="n">
        <v>58250</v>
      </c>
      <c r="I179" s="20" t="n">
        <v>8</v>
      </c>
      <c r="J179" s="21" t="n">
        <f aca="false">H179*(1-I179/100)</f>
        <v>53590</v>
      </c>
      <c r="K179" s="17" t="n">
        <v>2</v>
      </c>
      <c r="L179" s="17" t="s">
        <v>66</v>
      </c>
      <c r="M179" s="17" t="s">
        <v>61</v>
      </c>
    </row>
    <row r="180" customFormat="false" ht="15" hidden="false" customHeight="true" outlineLevel="0" collapsed="false">
      <c r="A180" s="12" t="s">
        <v>275</v>
      </c>
      <c r="B180" s="13" t="s">
        <v>144</v>
      </c>
      <c r="C180" s="12" t="s">
        <v>58</v>
      </c>
      <c r="D180" s="13" t="s">
        <v>107</v>
      </c>
      <c r="E180" s="13" t="s">
        <v>117</v>
      </c>
      <c r="F180" s="12" t="n">
        <v>337</v>
      </c>
      <c r="G180" s="14" t="n">
        <v>2000</v>
      </c>
      <c r="H180" s="14" t="n">
        <v>674000</v>
      </c>
      <c r="I180" s="15" t="n">
        <v>5</v>
      </c>
      <c r="J180" s="16" t="n">
        <f aca="false">H180*(1-I180/100)</f>
        <v>640300</v>
      </c>
      <c r="K180" s="12" t="n">
        <v>2</v>
      </c>
      <c r="L180" s="12" t="s">
        <v>66</v>
      </c>
      <c r="M180" s="12" t="s">
        <v>61</v>
      </c>
    </row>
    <row r="181" customFormat="false" ht="15" hidden="false" customHeight="true" outlineLevel="0" collapsed="false">
      <c r="A181" s="17" t="s">
        <v>276</v>
      </c>
      <c r="B181" s="18" t="s">
        <v>128</v>
      </c>
      <c r="C181" s="17" t="s">
        <v>81</v>
      </c>
      <c r="D181" s="18" t="s">
        <v>64</v>
      </c>
      <c r="E181" s="18" t="s">
        <v>65</v>
      </c>
      <c r="F181" s="17" t="n">
        <v>245</v>
      </c>
      <c r="G181" s="19" t="n">
        <v>1500</v>
      </c>
      <c r="H181" s="19" t="n">
        <v>367500</v>
      </c>
      <c r="I181" s="20" t="n">
        <v>0</v>
      </c>
      <c r="J181" s="21" t="n">
        <f aca="false">H181*(1-I181/100)</f>
        <v>367500</v>
      </c>
      <c r="K181" s="17" t="n">
        <v>7</v>
      </c>
      <c r="L181" s="17" t="s">
        <v>74</v>
      </c>
      <c r="M181" s="17" t="s">
        <v>50</v>
      </c>
    </row>
    <row r="182" customFormat="false" ht="15" hidden="false" customHeight="true" outlineLevel="0" collapsed="false">
      <c r="A182" s="12" t="s">
        <v>277</v>
      </c>
      <c r="B182" s="13" t="s">
        <v>111</v>
      </c>
      <c r="C182" s="12" t="s">
        <v>72</v>
      </c>
      <c r="D182" s="13" t="s">
        <v>53</v>
      </c>
      <c r="E182" s="13" t="s">
        <v>54</v>
      </c>
      <c r="F182" s="12" t="n">
        <v>278</v>
      </c>
      <c r="G182" s="14" t="n">
        <v>350</v>
      </c>
      <c r="H182" s="14" t="n">
        <v>97300</v>
      </c>
      <c r="I182" s="15" t="n">
        <v>8</v>
      </c>
      <c r="J182" s="16" t="n">
        <f aca="false">H182*(1-I182/100)</f>
        <v>89516</v>
      </c>
      <c r="K182" s="12" t="n">
        <v>5</v>
      </c>
      <c r="L182" s="12" t="s">
        <v>55</v>
      </c>
      <c r="M182" s="12" t="s">
        <v>61</v>
      </c>
    </row>
    <row r="183" customFormat="false" ht="15" hidden="false" customHeight="true" outlineLevel="0" collapsed="false">
      <c r="A183" s="17" t="s">
        <v>278</v>
      </c>
      <c r="B183" s="18" t="s">
        <v>111</v>
      </c>
      <c r="C183" s="17" t="s">
        <v>81</v>
      </c>
      <c r="D183" s="18" t="s">
        <v>64</v>
      </c>
      <c r="E183" s="18" t="s">
        <v>85</v>
      </c>
      <c r="F183" s="17" t="n">
        <v>271</v>
      </c>
      <c r="G183" s="19" t="n">
        <v>350</v>
      </c>
      <c r="H183" s="19" t="n">
        <v>94850</v>
      </c>
      <c r="I183" s="20" t="n">
        <v>10</v>
      </c>
      <c r="J183" s="21" t="n">
        <f aca="false">H183*(1-I183/100)</f>
        <v>85365</v>
      </c>
      <c r="K183" s="17" t="n">
        <v>9</v>
      </c>
      <c r="L183" s="17" t="s">
        <v>74</v>
      </c>
      <c r="M183" s="17" t="s">
        <v>50</v>
      </c>
    </row>
    <row r="184" customFormat="false" ht="15" hidden="false" customHeight="true" outlineLevel="0" collapsed="false">
      <c r="A184" s="12" t="s">
        <v>279</v>
      </c>
      <c r="B184" s="13" t="s">
        <v>76</v>
      </c>
      <c r="C184" s="12" t="s">
        <v>81</v>
      </c>
      <c r="D184" s="13" t="s">
        <v>47</v>
      </c>
      <c r="E184" s="13" t="s">
        <v>104</v>
      </c>
      <c r="F184" s="12" t="n">
        <v>427</v>
      </c>
      <c r="G184" s="14" t="n">
        <v>500</v>
      </c>
      <c r="H184" s="14" t="n">
        <v>213500</v>
      </c>
      <c r="I184" s="15" t="n">
        <v>2</v>
      </c>
      <c r="J184" s="16" t="n">
        <f aca="false">H184*(1-I184/100)</f>
        <v>209230</v>
      </c>
      <c r="K184" s="12" t="n">
        <v>2</v>
      </c>
      <c r="L184" s="12" t="s">
        <v>66</v>
      </c>
      <c r="M184" s="12" t="s">
        <v>50</v>
      </c>
    </row>
    <row r="185" customFormat="false" ht="15" hidden="false" customHeight="true" outlineLevel="0" collapsed="false">
      <c r="A185" s="17" t="s">
        <v>280</v>
      </c>
      <c r="B185" s="18" t="s">
        <v>63</v>
      </c>
      <c r="C185" s="17" t="s">
        <v>79</v>
      </c>
      <c r="D185" s="18" t="s">
        <v>64</v>
      </c>
      <c r="E185" s="18" t="s">
        <v>65</v>
      </c>
      <c r="F185" s="17" t="n">
        <v>88</v>
      </c>
      <c r="G185" s="19" t="n">
        <v>350</v>
      </c>
      <c r="H185" s="19" t="n">
        <v>30800</v>
      </c>
      <c r="I185" s="20" t="n">
        <v>2</v>
      </c>
      <c r="J185" s="21" t="n">
        <f aca="false">H185*(1-I185/100)</f>
        <v>30184</v>
      </c>
      <c r="K185" s="17" t="n">
        <v>11</v>
      </c>
      <c r="L185" s="17" t="s">
        <v>49</v>
      </c>
      <c r="M185" s="17" t="s">
        <v>61</v>
      </c>
    </row>
    <row r="186" customFormat="false" ht="15" hidden="false" customHeight="true" outlineLevel="0" collapsed="false">
      <c r="A186" s="12" t="s">
        <v>281</v>
      </c>
      <c r="B186" s="13" t="s">
        <v>106</v>
      </c>
      <c r="C186" s="12" t="s">
        <v>58</v>
      </c>
      <c r="D186" s="13" t="s">
        <v>53</v>
      </c>
      <c r="E186" s="13" t="s">
        <v>54</v>
      </c>
      <c r="F186" s="12" t="n">
        <v>358</v>
      </c>
      <c r="G186" s="14" t="n">
        <v>1500</v>
      </c>
      <c r="H186" s="14" t="n">
        <v>537000</v>
      </c>
      <c r="I186" s="15" t="n">
        <v>15</v>
      </c>
      <c r="J186" s="16" t="n">
        <f aca="false">H186*(1-I186/100)</f>
        <v>456450</v>
      </c>
      <c r="K186" s="12" t="n">
        <v>11</v>
      </c>
      <c r="L186" s="12" t="s">
        <v>49</v>
      </c>
      <c r="M186" s="12" t="s">
        <v>61</v>
      </c>
    </row>
    <row r="187" customFormat="false" ht="15" hidden="false" customHeight="true" outlineLevel="0" collapsed="false">
      <c r="A187" s="17" t="s">
        <v>282</v>
      </c>
      <c r="B187" s="18" t="s">
        <v>89</v>
      </c>
      <c r="C187" s="17" t="s">
        <v>72</v>
      </c>
      <c r="D187" s="18" t="s">
        <v>59</v>
      </c>
      <c r="E187" s="18" t="s">
        <v>69</v>
      </c>
      <c r="F187" s="17" t="n">
        <v>236</v>
      </c>
      <c r="G187" s="19" t="n">
        <v>1000</v>
      </c>
      <c r="H187" s="19" t="n">
        <v>236000</v>
      </c>
      <c r="I187" s="20" t="n">
        <v>15</v>
      </c>
      <c r="J187" s="21" t="n">
        <f aca="false">H187*(1-I187/100)</f>
        <v>200600</v>
      </c>
      <c r="K187" s="17" t="n">
        <v>5</v>
      </c>
      <c r="L187" s="17" t="s">
        <v>55</v>
      </c>
      <c r="M187" s="17" t="s">
        <v>50</v>
      </c>
    </row>
    <row r="188" customFormat="false" ht="15" hidden="false" customHeight="true" outlineLevel="0" collapsed="false">
      <c r="A188" s="12" t="s">
        <v>283</v>
      </c>
      <c r="B188" s="13" t="s">
        <v>76</v>
      </c>
      <c r="C188" s="12" t="s">
        <v>58</v>
      </c>
      <c r="D188" s="13" t="s">
        <v>59</v>
      </c>
      <c r="E188" s="13" t="s">
        <v>69</v>
      </c>
      <c r="F188" s="12" t="n">
        <v>246</v>
      </c>
      <c r="G188" s="14" t="n">
        <v>3000</v>
      </c>
      <c r="H188" s="14" t="n">
        <v>738000</v>
      </c>
      <c r="I188" s="15" t="n">
        <v>0</v>
      </c>
      <c r="J188" s="16" t="n">
        <f aca="false">H188*(1-I188/100)</f>
        <v>738000</v>
      </c>
      <c r="K188" s="12" t="n">
        <v>1</v>
      </c>
      <c r="L188" s="12" t="s">
        <v>66</v>
      </c>
      <c r="M188" s="12" t="s">
        <v>61</v>
      </c>
    </row>
    <row r="189" customFormat="false" ht="15" hidden="false" customHeight="true" outlineLevel="0" collapsed="false">
      <c r="A189" s="17" t="s">
        <v>284</v>
      </c>
      <c r="B189" s="18" t="s">
        <v>141</v>
      </c>
      <c r="C189" s="17" t="s">
        <v>46</v>
      </c>
      <c r="D189" s="18" t="s">
        <v>47</v>
      </c>
      <c r="E189" s="18" t="s">
        <v>146</v>
      </c>
      <c r="F189" s="17" t="n">
        <v>324</v>
      </c>
      <c r="G189" s="19" t="n">
        <v>5000</v>
      </c>
      <c r="H189" s="19" t="n">
        <v>1620000</v>
      </c>
      <c r="I189" s="20" t="n">
        <v>8</v>
      </c>
      <c r="J189" s="21" t="n">
        <f aca="false">H189*(1-I189/100)</f>
        <v>1490400</v>
      </c>
      <c r="K189" s="17" t="n">
        <v>8</v>
      </c>
      <c r="L189" s="17" t="s">
        <v>74</v>
      </c>
      <c r="M189" s="17" t="s">
        <v>50</v>
      </c>
    </row>
    <row r="190" customFormat="false" ht="15" hidden="false" customHeight="true" outlineLevel="0" collapsed="false">
      <c r="A190" s="12" t="s">
        <v>285</v>
      </c>
      <c r="B190" s="13" t="s">
        <v>106</v>
      </c>
      <c r="C190" s="12" t="s">
        <v>58</v>
      </c>
      <c r="D190" s="13" t="s">
        <v>47</v>
      </c>
      <c r="E190" s="13" t="s">
        <v>146</v>
      </c>
      <c r="F190" s="12" t="n">
        <v>174</v>
      </c>
      <c r="G190" s="14" t="n">
        <v>3000</v>
      </c>
      <c r="H190" s="14" t="n">
        <v>522000</v>
      </c>
      <c r="I190" s="15" t="n">
        <v>10</v>
      </c>
      <c r="J190" s="16" t="n">
        <f aca="false">H190*(1-I190/100)</f>
        <v>469800</v>
      </c>
      <c r="K190" s="12" t="n">
        <v>3</v>
      </c>
      <c r="L190" s="12" t="s">
        <v>66</v>
      </c>
      <c r="M190" s="12" t="s">
        <v>50</v>
      </c>
    </row>
    <row r="191" customFormat="false" ht="15" hidden="false" customHeight="true" outlineLevel="0" collapsed="false">
      <c r="A191" s="17" t="s">
        <v>286</v>
      </c>
      <c r="B191" s="18" t="s">
        <v>106</v>
      </c>
      <c r="C191" s="17" t="s">
        <v>46</v>
      </c>
      <c r="D191" s="18" t="s">
        <v>95</v>
      </c>
      <c r="E191" s="18" t="s">
        <v>139</v>
      </c>
      <c r="F191" s="17" t="n">
        <v>53</v>
      </c>
      <c r="G191" s="19" t="n">
        <v>5000</v>
      </c>
      <c r="H191" s="19" t="n">
        <v>265000</v>
      </c>
      <c r="I191" s="20" t="n">
        <v>12</v>
      </c>
      <c r="J191" s="21" t="n">
        <f aca="false">H191*(1-I191/100)</f>
        <v>233200</v>
      </c>
      <c r="K191" s="17" t="n">
        <v>3</v>
      </c>
      <c r="L191" s="17" t="s">
        <v>66</v>
      </c>
      <c r="M191" s="17" t="s">
        <v>50</v>
      </c>
    </row>
    <row r="192" customFormat="false" ht="15" hidden="false" customHeight="true" outlineLevel="0" collapsed="false">
      <c r="A192" s="12" t="s">
        <v>287</v>
      </c>
      <c r="B192" s="13" t="s">
        <v>111</v>
      </c>
      <c r="C192" s="12" t="s">
        <v>72</v>
      </c>
      <c r="D192" s="13" t="s">
        <v>107</v>
      </c>
      <c r="E192" s="13" t="s">
        <v>117</v>
      </c>
      <c r="F192" s="12" t="n">
        <v>277</v>
      </c>
      <c r="G192" s="14" t="n">
        <v>500</v>
      </c>
      <c r="H192" s="14" t="n">
        <v>138500</v>
      </c>
      <c r="I192" s="15" t="n">
        <v>5</v>
      </c>
      <c r="J192" s="16" t="n">
        <f aca="false">H192*(1-I192/100)</f>
        <v>131575</v>
      </c>
      <c r="K192" s="12" t="n">
        <v>6</v>
      </c>
      <c r="L192" s="12" t="s">
        <v>55</v>
      </c>
      <c r="M192" s="12" t="s">
        <v>61</v>
      </c>
    </row>
    <row r="193" customFormat="false" ht="15" hidden="false" customHeight="true" outlineLevel="0" collapsed="false">
      <c r="A193" s="17" t="s">
        <v>288</v>
      </c>
      <c r="B193" s="18" t="s">
        <v>91</v>
      </c>
      <c r="C193" s="17" t="s">
        <v>72</v>
      </c>
      <c r="D193" s="18" t="s">
        <v>95</v>
      </c>
      <c r="E193" s="18" t="s">
        <v>139</v>
      </c>
      <c r="F193" s="17" t="n">
        <v>316</v>
      </c>
      <c r="G193" s="19" t="n">
        <v>250</v>
      </c>
      <c r="H193" s="19" t="n">
        <v>79000</v>
      </c>
      <c r="I193" s="20" t="n">
        <v>15</v>
      </c>
      <c r="J193" s="21" t="n">
        <f aca="false">H193*(1-I193/100)</f>
        <v>67150</v>
      </c>
      <c r="K193" s="17" t="n">
        <v>11</v>
      </c>
      <c r="L193" s="17" t="s">
        <v>49</v>
      </c>
      <c r="M193" s="17" t="s">
        <v>61</v>
      </c>
    </row>
    <row r="194" customFormat="false" ht="15" hidden="false" customHeight="true" outlineLevel="0" collapsed="false">
      <c r="A194" s="12" t="s">
        <v>289</v>
      </c>
      <c r="B194" s="13" t="s">
        <v>78</v>
      </c>
      <c r="C194" s="12" t="s">
        <v>81</v>
      </c>
      <c r="D194" s="13" t="s">
        <v>59</v>
      </c>
      <c r="E194" s="13" t="s">
        <v>60</v>
      </c>
      <c r="F194" s="12" t="n">
        <v>357</v>
      </c>
      <c r="G194" s="14" t="n">
        <v>2000</v>
      </c>
      <c r="H194" s="14" t="n">
        <v>714000</v>
      </c>
      <c r="I194" s="15" t="n">
        <v>5</v>
      </c>
      <c r="J194" s="16" t="n">
        <f aca="false">H194*(1-I194/100)</f>
        <v>678300</v>
      </c>
      <c r="K194" s="12" t="n">
        <v>5</v>
      </c>
      <c r="L194" s="12" t="s">
        <v>55</v>
      </c>
      <c r="M194" s="12" t="s">
        <v>50</v>
      </c>
    </row>
    <row r="195" customFormat="false" ht="15" hidden="false" customHeight="true" outlineLevel="0" collapsed="false">
      <c r="A195" s="17" t="s">
        <v>290</v>
      </c>
      <c r="B195" s="18" t="s">
        <v>68</v>
      </c>
      <c r="C195" s="17" t="s">
        <v>46</v>
      </c>
      <c r="D195" s="18" t="s">
        <v>53</v>
      </c>
      <c r="E195" s="18" t="s">
        <v>129</v>
      </c>
      <c r="F195" s="17" t="n">
        <v>82</v>
      </c>
      <c r="G195" s="19" t="n">
        <v>1500</v>
      </c>
      <c r="H195" s="19" t="n">
        <v>123000</v>
      </c>
      <c r="I195" s="20" t="n">
        <v>5</v>
      </c>
      <c r="J195" s="21" t="n">
        <f aca="false">H195*(1-I195/100)</f>
        <v>116850</v>
      </c>
      <c r="K195" s="17" t="n">
        <v>11</v>
      </c>
      <c r="L195" s="17" t="s">
        <v>49</v>
      </c>
      <c r="M195" s="17" t="s">
        <v>61</v>
      </c>
    </row>
    <row r="196" customFormat="false" ht="15" hidden="false" customHeight="true" outlineLevel="0" collapsed="false">
      <c r="A196" s="12" t="s">
        <v>291</v>
      </c>
      <c r="B196" s="13" t="s">
        <v>89</v>
      </c>
      <c r="C196" s="12" t="s">
        <v>58</v>
      </c>
      <c r="D196" s="13" t="s">
        <v>47</v>
      </c>
      <c r="E196" s="13" t="s">
        <v>146</v>
      </c>
      <c r="F196" s="12" t="n">
        <v>168</v>
      </c>
      <c r="G196" s="14" t="n">
        <v>5000</v>
      </c>
      <c r="H196" s="14" t="n">
        <v>840000</v>
      </c>
      <c r="I196" s="15" t="n">
        <v>8</v>
      </c>
      <c r="J196" s="16" t="n">
        <f aca="false">H196*(1-I196/100)</f>
        <v>772800</v>
      </c>
      <c r="K196" s="12" t="n">
        <v>11</v>
      </c>
      <c r="L196" s="12" t="s">
        <v>49</v>
      </c>
      <c r="M196" s="12" t="s">
        <v>61</v>
      </c>
    </row>
    <row r="197" customFormat="false" ht="15" hidden="false" customHeight="true" outlineLevel="0" collapsed="false">
      <c r="A197" s="17" t="s">
        <v>292</v>
      </c>
      <c r="B197" s="18" t="s">
        <v>89</v>
      </c>
      <c r="C197" s="17" t="s">
        <v>58</v>
      </c>
      <c r="D197" s="18" t="s">
        <v>59</v>
      </c>
      <c r="E197" s="18" t="s">
        <v>60</v>
      </c>
      <c r="F197" s="17" t="n">
        <v>353</v>
      </c>
      <c r="G197" s="19" t="n">
        <v>2000</v>
      </c>
      <c r="H197" s="19" t="n">
        <v>706000</v>
      </c>
      <c r="I197" s="20" t="n">
        <v>10</v>
      </c>
      <c r="J197" s="21" t="n">
        <f aca="false">H197*(1-I197/100)</f>
        <v>635400</v>
      </c>
      <c r="K197" s="17" t="n">
        <v>6</v>
      </c>
      <c r="L197" s="17" t="s">
        <v>55</v>
      </c>
      <c r="M197" s="17" t="s">
        <v>50</v>
      </c>
    </row>
    <row r="198" customFormat="false" ht="15" hidden="false" customHeight="true" outlineLevel="0" collapsed="false">
      <c r="A198" s="12" t="s">
        <v>293</v>
      </c>
      <c r="B198" s="13" t="s">
        <v>76</v>
      </c>
      <c r="C198" s="12" t="s">
        <v>81</v>
      </c>
      <c r="D198" s="13" t="s">
        <v>64</v>
      </c>
      <c r="E198" s="13" t="s">
        <v>85</v>
      </c>
      <c r="F198" s="12" t="n">
        <v>184</v>
      </c>
      <c r="G198" s="14" t="n">
        <v>3000</v>
      </c>
      <c r="H198" s="14" t="n">
        <v>552000</v>
      </c>
      <c r="I198" s="15" t="n">
        <v>2</v>
      </c>
      <c r="J198" s="16" t="n">
        <f aca="false">H198*(1-I198/100)</f>
        <v>540960</v>
      </c>
      <c r="K198" s="12" t="n">
        <v>4</v>
      </c>
      <c r="L198" s="12" t="s">
        <v>55</v>
      </c>
      <c r="M198" s="12" t="s">
        <v>50</v>
      </c>
    </row>
    <row r="199" customFormat="false" ht="15" hidden="false" customHeight="true" outlineLevel="0" collapsed="false">
      <c r="A199" s="17" t="s">
        <v>294</v>
      </c>
      <c r="B199" s="18" t="s">
        <v>89</v>
      </c>
      <c r="C199" s="17" t="s">
        <v>46</v>
      </c>
      <c r="D199" s="18" t="s">
        <v>95</v>
      </c>
      <c r="E199" s="18" t="s">
        <v>122</v>
      </c>
      <c r="F199" s="17" t="n">
        <v>269</v>
      </c>
      <c r="G199" s="19" t="n">
        <v>5000</v>
      </c>
      <c r="H199" s="19" t="n">
        <v>1345000</v>
      </c>
      <c r="I199" s="20" t="n">
        <v>15</v>
      </c>
      <c r="J199" s="21" t="n">
        <f aca="false">H199*(1-I199/100)</f>
        <v>1143250</v>
      </c>
      <c r="K199" s="17" t="n">
        <v>12</v>
      </c>
      <c r="L199" s="17" t="s">
        <v>49</v>
      </c>
      <c r="M199" s="17" t="s">
        <v>50</v>
      </c>
    </row>
    <row r="200" customFormat="false" ht="15" hidden="false" customHeight="true" outlineLevel="0" collapsed="false">
      <c r="A200" s="12" t="s">
        <v>295</v>
      </c>
      <c r="B200" s="13" t="s">
        <v>68</v>
      </c>
      <c r="C200" s="12" t="s">
        <v>58</v>
      </c>
      <c r="D200" s="13" t="s">
        <v>64</v>
      </c>
      <c r="E200" s="13" t="s">
        <v>65</v>
      </c>
      <c r="F200" s="12" t="n">
        <v>202</v>
      </c>
      <c r="G200" s="14" t="n">
        <v>500</v>
      </c>
      <c r="H200" s="14" t="n">
        <v>101000</v>
      </c>
      <c r="I200" s="15" t="n">
        <v>2</v>
      </c>
      <c r="J200" s="16" t="n">
        <f aca="false">H200*(1-I200/100)</f>
        <v>98980</v>
      </c>
      <c r="K200" s="12" t="n">
        <v>3</v>
      </c>
      <c r="L200" s="12" t="s">
        <v>66</v>
      </c>
      <c r="M200" s="12" t="s">
        <v>50</v>
      </c>
    </row>
    <row r="201" customFormat="false" ht="15" hidden="false" customHeight="true" outlineLevel="0" collapsed="false">
      <c r="A201" s="17" t="s">
        <v>296</v>
      </c>
      <c r="B201" s="18" t="s">
        <v>106</v>
      </c>
      <c r="C201" s="17" t="s">
        <v>46</v>
      </c>
      <c r="D201" s="18" t="s">
        <v>107</v>
      </c>
      <c r="E201" s="18" t="s">
        <v>135</v>
      </c>
      <c r="F201" s="17" t="n">
        <v>356</v>
      </c>
      <c r="G201" s="19" t="n">
        <v>750</v>
      </c>
      <c r="H201" s="19" t="n">
        <v>267000</v>
      </c>
      <c r="I201" s="20" t="n">
        <v>8</v>
      </c>
      <c r="J201" s="21" t="n">
        <f aca="false">H201*(1-I201/100)</f>
        <v>245640</v>
      </c>
      <c r="K201" s="17" t="n">
        <v>10</v>
      </c>
      <c r="L201" s="17" t="s">
        <v>49</v>
      </c>
      <c r="M201" s="17" t="s">
        <v>61</v>
      </c>
    </row>
    <row r="202" customFormat="false" ht="15" hidden="false" customHeight="true" outlineLevel="0" collapsed="false">
      <c r="A202" s="12" t="s">
        <v>297</v>
      </c>
      <c r="B202" s="13" t="s">
        <v>106</v>
      </c>
      <c r="C202" s="12" t="s">
        <v>79</v>
      </c>
      <c r="D202" s="13" t="s">
        <v>53</v>
      </c>
      <c r="E202" s="13" t="s">
        <v>73</v>
      </c>
      <c r="F202" s="12" t="n">
        <v>168</v>
      </c>
      <c r="G202" s="14" t="n">
        <v>3000</v>
      </c>
      <c r="H202" s="14" t="n">
        <v>504000</v>
      </c>
      <c r="I202" s="15" t="n">
        <v>15</v>
      </c>
      <c r="J202" s="16" t="n">
        <f aca="false">H202*(1-I202/100)</f>
        <v>428400</v>
      </c>
      <c r="K202" s="12" t="n">
        <v>4</v>
      </c>
      <c r="L202" s="12" t="s">
        <v>55</v>
      </c>
      <c r="M202" s="12" t="s">
        <v>61</v>
      </c>
    </row>
    <row r="203" customFormat="false" ht="15" hidden="false" customHeight="true" outlineLevel="0" collapsed="false">
      <c r="A203" s="17" t="s">
        <v>298</v>
      </c>
      <c r="B203" s="18" t="s">
        <v>106</v>
      </c>
      <c r="C203" s="17" t="s">
        <v>72</v>
      </c>
      <c r="D203" s="18" t="s">
        <v>95</v>
      </c>
      <c r="E203" s="18" t="s">
        <v>96</v>
      </c>
      <c r="F203" s="17" t="n">
        <v>267</v>
      </c>
      <c r="G203" s="19" t="n">
        <v>5000</v>
      </c>
      <c r="H203" s="19" t="n">
        <v>1335000</v>
      </c>
      <c r="I203" s="20" t="n">
        <v>8</v>
      </c>
      <c r="J203" s="21" t="n">
        <f aca="false">H203*(1-I203/100)</f>
        <v>1228200</v>
      </c>
      <c r="K203" s="17" t="n">
        <v>3</v>
      </c>
      <c r="L203" s="17" t="s">
        <v>66</v>
      </c>
      <c r="M203" s="17" t="s">
        <v>50</v>
      </c>
    </row>
    <row r="204" customFormat="false" ht="15" hidden="false" customHeight="true" outlineLevel="0" collapsed="false">
      <c r="A204" s="12" t="s">
        <v>299</v>
      </c>
      <c r="B204" s="13" t="s">
        <v>89</v>
      </c>
      <c r="C204" s="12" t="s">
        <v>81</v>
      </c>
      <c r="D204" s="13" t="s">
        <v>59</v>
      </c>
      <c r="E204" s="13" t="s">
        <v>60</v>
      </c>
      <c r="F204" s="12" t="n">
        <v>256</v>
      </c>
      <c r="G204" s="14" t="n">
        <v>1500</v>
      </c>
      <c r="H204" s="14" t="n">
        <v>384000</v>
      </c>
      <c r="I204" s="15" t="n">
        <v>10</v>
      </c>
      <c r="J204" s="16" t="n">
        <f aca="false">H204*(1-I204/100)</f>
        <v>345600</v>
      </c>
      <c r="K204" s="12" t="n">
        <v>2</v>
      </c>
      <c r="L204" s="12" t="s">
        <v>66</v>
      </c>
      <c r="M204" s="12" t="s">
        <v>50</v>
      </c>
    </row>
    <row r="205" customFormat="false" ht="15" hidden="false" customHeight="true" outlineLevel="0" collapsed="false">
      <c r="A205" s="17" t="s">
        <v>300</v>
      </c>
      <c r="B205" s="18" t="s">
        <v>141</v>
      </c>
      <c r="C205" s="17" t="s">
        <v>46</v>
      </c>
      <c r="D205" s="18" t="s">
        <v>64</v>
      </c>
      <c r="E205" s="18" t="s">
        <v>83</v>
      </c>
      <c r="F205" s="17" t="n">
        <v>240</v>
      </c>
      <c r="G205" s="19" t="n">
        <v>5000</v>
      </c>
      <c r="H205" s="19" t="n">
        <v>1200000</v>
      </c>
      <c r="I205" s="20" t="n">
        <v>2</v>
      </c>
      <c r="J205" s="21" t="n">
        <f aca="false">H205*(1-I205/100)</f>
        <v>1176000</v>
      </c>
      <c r="K205" s="17" t="n">
        <v>7</v>
      </c>
      <c r="L205" s="17" t="s">
        <v>74</v>
      </c>
      <c r="M205" s="17" t="s">
        <v>50</v>
      </c>
    </row>
    <row r="206" customFormat="false" ht="15" hidden="false" customHeight="true" outlineLevel="0" collapsed="false">
      <c r="A206" s="12" t="s">
        <v>301</v>
      </c>
      <c r="B206" s="13" t="s">
        <v>111</v>
      </c>
      <c r="C206" s="12" t="s">
        <v>72</v>
      </c>
      <c r="D206" s="13" t="s">
        <v>95</v>
      </c>
      <c r="E206" s="13" t="s">
        <v>122</v>
      </c>
      <c r="F206" s="12" t="n">
        <v>222</v>
      </c>
      <c r="G206" s="14" t="n">
        <v>250</v>
      </c>
      <c r="H206" s="14" t="n">
        <v>55500</v>
      </c>
      <c r="I206" s="15" t="n">
        <v>8</v>
      </c>
      <c r="J206" s="16" t="n">
        <f aca="false">H206*(1-I206/100)</f>
        <v>51060</v>
      </c>
      <c r="K206" s="12" t="n">
        <v>9</v>
      </c>
      <c r="L206" s="12" t="s">
        <v>74</v>
      </c>
      <c r="M206" s="12" t="s">
        <v>61</v>
      </c>
    </row>
    <row r="207" customFormat="false" ht="15" hidden="false" customHeight="true" outlineLevel="0" collapsed="false">
      <c r="A207" s="17" t="s">
        <v>302</v>
      </c>
      <c r="B207" s="18" t="s">
        <v>111</v>
      </c>
      <c r="C207" s="17" t="s">
        <v>72</v>
      </c>
      <c r="D207" s="18" t="s">
        <v>59</v>
      </c>
      <c r="E207" s="18" t="s">
        <v>69</v>
      </c>
      <c r="F207" s="17" t="n">
        <v>124</v>
      </c>
      <c r="G207" s="19" t="n">
        <v>250</v>
      </c>
      <c r="H207" s="19" t="n">
        <v>31000</v>
      </c>
      <c r="I207" s="20" t="n">
        <v>5</v>
      </c>
      <c r="J207" s="21" t="n">
        <f aca="false">H207*(1-I207/100)</f>
        <v>29450</v>
      </c>
      <c r="K207" s="17" t="n">
        <v>2</v>
      </c>
      <c r="L207" s="17" t="s">
        <v>66</v>
      </c>
      <c r="M207" s="17" t="s">
        <v>61</v>
      </c>
    </row>
    <row r="208" customFormat="false" ht="15" hidden="false" customHeight="true" outlineLevel="0" collapsed="false">
      <c r="A208" s="12" t="s">
        <v>303</v>
      </c>
      <c r="B208" s="13" t="s">
        <v>89</v>
      </c>
      <c r="C208" s="12" t="s">
        <v>79</v>
      </c>
      <c r="D208" s="13" t="s">
        <v>59</v>
      </c>
      <c r="E208" s="13" t="s">
        <v>69</v>
      </c>
      <c r="F208" s="12" t="n">
        <v>479</v>
      </c>
      <c r="G208" s="14" t="n">
        <v>3000</v>
      </c>
      <c r="H208" s="14" t="n">
        <v>1437000</v>
      </c>
      <c r="I208" s="15" t="n">
        <v>12</v>
      </c>
      <c r="J208" s="16" t="n">
        <f aca="false">H208*(1-I208/100)</f>
        <v>1264560</v>
      </c>
      <c r="K208" s="12" t="n">
        <v>3</v>
      </c>
      <c r="L208" s="12" t="s">
        <v>66</v>
      </c>
      <c r="M208" s="12" t="s">
        <v>61</v>
      </c>
    </row>
    <row r="209" customFormat="false" ht="15" hidden="false" customHeight="true" outlineLevel="0" collapsed="false">
      <c r="A209" s="17" t="s">
        <v>304</v>
      </c>
      <c r="B209" s="18" t="s">
        <v>106</v>
      </c>
      <c r="C209" s="17" t="s">
        <v>58</v>
      </c>
      <c r="D209" s="18" t="s">
        <v>59</v>
      </c>
      <c r="E209" s="18" t="s">
        <v>131</v>
      </c>
      <c r="F209" s="17" t="n">
        <v>19</v>
      </c>
      <c r="G209" s="19" t="n">
        <v>1000</v>
      </c>
      <c r="H209" s="19" t="n">
        <v>19000</v>
      </c>
      <c r="I209" s="20" t="n">
        <v>2</v>
      </c>
      <c r="J209" s="21" t="n">
        <f aca="false">H209*(1-I209/100)</f>
        <v>18620</v>
      </c>
      <c r="K209" s="17" t="n">
        <v>3</v>
      </c>
      <c r="L209" s="17" t="s">
        <v>66</v>
      </c>
      <c r="M209" s="17" t="s">
        <v>61</v>
      </c>
    </row>
    <row r="210" customFormat="false" ht="15" hidden="false" customHeight="true" outlineLevel="0" collapsed="false">
      <c r="A210" s="12" t="s">
        <v>305</v>
      </c>
      <c r="B210" s="13" t="s">
        <v>45</v>
      </c>
      <c r="C210" s="12" t="s">
        <v>81</v>
      </c>
      <c r="D210" s="13" t="s">
        <v>64</v>
      </c>
      <c r="E210" s="13" t="s">
        <v>83</v>
      </c>
      <c r="F210" s="12" t="n">
        <v>72</v>
      </c>
      <c r="G210" s="14" t="n">
        <v>250</v>
      </c>
      <c r="H210" s="14" t="n">
        <v>18000</v>
      </c>
      <c r="I210" s="15" t="n">
        <v>2</v>
      </c>
      <c r="J210" s="16" t="n">
        <f aca="false">H210*(1-I210/100)</f>
        <v>17640</v>
      </c>
      <c r="K210" s="12" t="n">
        <v>7</v>
      </c>
      <c r="L210" s="12" t="s">
        <v>74</v>
      </c>
      <c r="M210" s="12" t="s">
        <v>61</v>
      </c>
    </row>
    <row r="211" customFormat="false" ht="15" hidden="false" customHeight="true" outlineLevel="0" collapsed="false">
      <c r="A211" s="17" t="s">
        <v>306</v>
      </c>
      <c r="B211" s="18" t="s">
        <v>78</v>
      </c>
      <c r="C211" s="17" t="s">
        <v>46</v>
      </c>
      <c r="D211" s="18" t="s">
        <v>107</v>
      </c>
      <c r="E211" s="18" t="s">
        <v>117</v>
      </c>
      <c r="F211" s="17" t="n">
        <v>284</v>
      </c>
      <c r="G211" s="19" t="n">
        <v>250</v>
      </c>
      <c r="H211" s="19" t="n">
        <v>71000</v>
      </c>
      <c r="I211" s="20" t="n">
        <v>12</v>
      </c>
      <c r="J211" s="21" t="n">
        <f aca="false">H211*(1-I211/100)</f>
        <v>62480</v>
      </c>
      <c r="K211" s="17" t="n">
        <v>9</v>
      </c>
      <c r="L211" s="17" t="s">
        <v>74</v>
      </c>
      <c r="M211" s="17" t="s">
        <v>50</v>
      </c>
    </row>
    <row r="212" customFormat="false" ht="15" hidden="false" customHeight="true" outlineLevel="0" collapsed="false">
      <c r="A212" s="12" t="s">
        <v>307</v>
      </c>
      <c r="B212" s="13" t="s">
        <v>89</v>
      </c>
      <c r="C212" s="12" t="s">
        <v>81</v>
      </c>
      <c r="D212" s="13" t="s">
        <v>107</v>
      </c>
      <c r="E212" s="13" t="s">
        <v>108</v>
      </c>
      <c r="F212" s="12" t="n">
        <v>324</v>
      </c>
      <c r="G212" s="14" t="n">
        <v>1500</v>
      </c>
      <c r="H212" s="14" t="n">
        <v>486000</v>
      </c>
      <c r="I212" s="15" t="n">
        <v>2</v>
      </c>
      <c r="J212" s="16" t="n">
        <f aca="false">H212*(1-I212/100)</f>
        <v>476280</v>
      </c>
      <c r="K212" s="12" t="n">
        <v>10</v>
      </c>
      <c r="L212" s="12" t="s">
        <v>49</v>
      </c>
      <c r="M212" s="12" t="s">
        <v>61</v>
      </c>
    </row>
    <row r="213" customFormat="false" ht="15" hidden="false" customHeight="true" outlineLevel="0" collapsed="false">
      <c r="A213" s="17" t="s">
        <v>308</v>
      </c>
      <c r="B213" s="18" t="s">
        <v>120</v>
      </c>
      <c r="C213" s="17" t="s">
        <v>46</v>
      </c>
      <c r="D213" s="18" t="s">
        <v>53</v>
      </c>
      <c r="E213" s="18" t="s">
        <v>54</v>
      </c>
      <c r="F213" s="17" t="n">
        <v>44</v>
      </c>
      <c r="G213" s="19" t="n">
        <v>5000</v>
      </c>
      <c r="H213" s="19" t="n">
        <v>220000</v>
      </c>
      <c r="I213" s="20" t="n">
        <v>10</v>
      </c>
      <c r="J213" s="21" t="n">
        <f aca="false">H213*(1-I213/100)</f>
        <v>198000</v>
      </c>
      <c r="K213" s="17" t="n">
        <v>9</v>
      </c>
      <c r="L213" s="17" t="s">
        <v>74</v>
      </c>
      <c r="M213" s="17" t="s">
        <v>50</v>
      </c>
    </row>
    <row r="214" customFormat="false" ht="15" hidden="false" customHeight="true" outlineLevel="0" collapsed="false">
      <c r="A214" s="12" t="s">
        <v>309</v>
      </c>
      <c r="B214" s="13" t="s">
        <v>91</v>
      </c>
      <c r="C214" s="12" t="s">
        <v>72</v>
      </c>
      <c r="D214" s="13" t="s">
        <v>59</v>
      </c>
      <c r="E214" s="13" t="s">
        <v>60</v>
      </c>
      <c r="F214" s="12" t="n">
        <v>208</v>
      </c>
      <c r="G214" s="14" t="n">
        <v>1500</v>
      </c>
      <c r="H214" s="14" t="n">
        <v>312000</v>
      </c>
      <c r="I214" s="15" t="n">
        <v>5</v>
      </c>
      <c r="J214" s="16" t="n">
        <f aca="false">H214*(1-I214/100)</f>
        <v>296400</v>
      </c>
      <c r="K214" s="12" t="n">
        <v>12</v>
      </c>
      <c r="L214" s="12" t="s">
        <v>49</v>
      </c>
      <c r="M214" s="12" t="s">
        <v>50</v>
      </c>
    </row>
    <row r="215" customFormat="false" ht="15" hidden="false" customHeight="true" outlineLevel="0" collapsed="false">
      <c r="A215" s="17" t="s">
        <v>310</v>
      </c>
      <c r="B215" s="18" t="s">
        <v>76</v>
      </c>
      <c r="C215" s="17" t="s">
        <v>46</v>
      </c>
      <c r="D215" s="18" t="s">
        <v>95</v>
      </c>
      <c r="E215" s="18" t="s">
        <v>122</v>
      </c>
      <c r="F215" s="17" t="n">
        <v>385</v>
      </c>
      <c r="G215" s="19" t="n">
        <v>350</v>
      </c>
      <c r="H215" s="19" t="n">
        <v>134750</v>
      </c>
      <c r="I215" s="20" t="n">
        <v>15</v>
      </c>
      <c r="J215" s="21" t="n">
        <f aca="false">H215*(1-I215/100)</f>
        <v>114537.5</v>
      </c>
      <c r="K215" s="17" t="n">
        <v>10</v>
      </c>
      <c r="L215" s="17" t="s">
        <v>49</v>
      </c>
      <c r="M215" s="17" t="s">
        <v>61</v>
      </c>
    </row>
    <row r="216" customFormat="false" ht="15" hidden="false" customHeight="true" outlineLevel="0" collapsed="false">
      <c r="A216" s="12" t="s">
        <v>311</v>
      </c>
      <c r="B216" s="13" t="s">
        <v>89</v>
      </c>
      <c r="C216" s="12" t="s">
        <v>46</v>
      </c>
      <c r="D216" s="13" t="s">
        <v>95</v>
      </c>
      <c r="E216" s="13" t="s">
        <v>139</v>
      </c>
      <c r="F216" s="12" t="n">
        <v>183</v>
      </c>
      <c r="G216" s="14" t="n">
        <v>500</v>
      </c>
      <c r="H216" s="14" t="n">
        <v>91500</v>
      </c>
      <c r="I216" s="15" t="n">
        <v>15</v>
      </c>
      <c r="J216" s="16" t="n">
        <f aca="false">H216*(1-I216/100)</f>
        <v>77775</v>
      </c>
      <c r="K216" s="12" t="n">
        <v>11</v>
      </c>
      <c r="L216" s="12" t="s">
        <v>49</v>
      </c>
      <c r="M216" s="12" t="s">
        <v>61</v>
      </c>
    </row>
    <row r="217" customFormat="false" ht="15" hidden="false" customHeight="true" outlineLevel="0" collapsed="false">
      <c r="A217" s="17" t="s">
        <v>312</v>
      </c>
      <c r="B217" s="18" t="s">
        <v>100</v>
      </c>
      <c r="C217" s="17" t="s">
        <v>79</v>
      </c>
      <c r="D217" s="18" t="s">
        <v>64</v>
      </c>
      <c r="E217" s="18" t="s">
        <v>85</v>
      </c>
      <c r="F217" s="17" t="n">
        <v>376</v>
      </c>
      <c r="G217" s="19" t="n">
        <v>3000</v>
      </c>
      <c r="H217" s="19" t="n">
        <v>1128000</v>
      </c>
      <c r="I217" s="20" t="n">
        <v>0</v>
      </c>
      <c r="J217" s="21" t="n">
        <f aca="false">H217*(1-I217/100)</f>
        <v>1128000</v>
      </c>
      <c r="K217" s="17" t="n">
        <v>5</v>
      </c>
      <c r="L217" s="17" t="s">
        <v>55</v>
      </c>
      <c r="M217" s="17" t="s">
        <v>50</v>
      </c>
    </row>
    <row r="218" customFormat="false" ht="15" hidden="false" customHeight="true" outlineLevel="0" collapsed="false">
      <c r="A218" s="12" t="s">
        <v>313</v>
      </c>
      <c r="B218" s="13" t="s">
        <v>71</v>
      </c>
      <c r="C218" s="12" t="s">
        <v>79</v>
      </c>
      <c r="D218" s="13" t="s">
        <v>59</v>
      </c>
      <c r="E218" s="13" t="s">
        <v>69</v>
      </c>
      <c r="F218" s="12" t="n">
        <v>487</v>
      </c>
      <c r="G218" s="14" t="n">
        <v>1000</v>
      </c>
      <c r="H218" s="14" t="n">
        <v>487000</v>
      </c>
      <c r="I218" s="15" t="n">
        <v>10</v>
      </c>
      <c r="J218" s="16" t="n">
        <f aca="false">H218*(1-I218/100)</f>
        <v>438300</v>
      </c>
      <c r="K218" s="12" t="n">
        <v>7</v>
      </c>
      <c r="L218" s="12" t="s">
        <v>74</v>
      </c>
      <c r="M218" s="12" t="s">
        <v>61</v>
      </c>
    </row>
    <row r="219" customFormat="false" ht="15" hidden="false" customHeight="true" outlineLevel="0" collapsed="false">
      <c r="A219" s="17" t="s">
        <v>314</v>
      </c>
      <c r="B219" s="18" t="s">
        <v>63</v>
      </c>
      <c r="C219" s="17" t="s">
        <v>46</v>
      </c>
      <c r="D219" s="18" t="s">
        <v>47</v>
      </c>
      <c r="E219" s="18" t="s">
        <v>146</v>
      </c>
      <c r="F219" s="17" t="n">
        <v>156</v>
      </c>
      <c r="G219" s="19" t="n">
        <v>1500</v>
      </c>
      <c r="H219" s="19" t="n">
        <v>234000</v>
      </c>
      <c r="I219" s="20" t="n">
        <v>15</v>
      </c>
      <c r="J219" s="21" t="n">
        <f aca="false">H219*(1-I219/100)</f>
        <v>198900</v>
      </c>
      <c r="K219" s="17" t="n">
        <v>1</v>
      </c>
      <c r="L219" s="17" t="s">
        <v>66</v>
      </c>
      <c r="M219" s="17" t="s">
        <v>61</v>
      </c>
    </row>
    <row r="220" customFormat="false" ht="15" hidden="false" customHeight="true" outlineLevel="0" collapsed="false">
      <c r="A220" s="12" t="s">
        <v>315</v>
      </c>
      <c r="B220" s="13" t="s">
        <v>63</v>
      </c>
      <c r="C220" s="12" t="s">
        <v>46</v>
      </c>
      <c r="D220" s="13" t="s">
        <v>95</v>
      </c>
      <c r="E220" s="13" t="s">
        <v>96</v>
      </c>
      <c r="F220" s="12" t="n">
        <v>465</v>
      </c>
      <c r="G220" s="14" t="n">
        <v>2000</v>
      </c>
      <c r="H220" s="14" t="n">
        <v>930000</v>
      </c>
      <c r="I220" s="15" t="n">
        <v>12</v>
      </c>
      <c r="J220" s="16" t="n">
        <f aca="false">H220*(1-I220/100)</f>
        <v>818400</v>
      </c>
      <c r="K220" s="12" t="n">
        <v>8</v>
      </c>
      <c r="L220" s="12" t="s">
        <v>74</v>
      </c>
      <c r="M220" s="12" t="s">
        <v>61</v>
      </c>
    </row>
    <row r="221" customFormat="false" ht="15" hidden="false" customHeight="true" outlineLevel="0" collapsed="false">
      <c r="A221" s="17" t="s">
        <v>316</v>
      </c>
      <c r="B221" s="18" t="s">
        <v>68</v>
      </c>
      <c r="C221" s="17" t="s">
        <v>79</v>
      </c>
      <c r="D221" s="18" t="s">
        <v>107</v>
      </c>
      <c r="E221" s="18" t="s">
        <v>117</v>
      </c>
      <c r="F221" s="17" t="n">
        <v>264</v>
      </c>
      <c r="G221" s="19" t="n">
        <v>1500</v>
      </c>
      <c r="H221" s="19" t="n">
        <v>396000</v>
      </c>
      <c r="I221" s="20" t="n">
        <v>15</v>
      </c>
      <c r="J221" s="21" t="n">
        <f aca="false">H221*(1-I221/100)</f>
        <v>336600</v>
      </c>
      <c r="K221" s="17" t="n">
        <v>9</v>
      </c>
      <c r="L221" s="17" t="s">
        <v>74</v>
      </c>
      <c r="M221" s="17" t="s">
        <v>61</v>
      </c>
    </row>
    <row r="222" customFormat="false" ht="15" hidden="false" customHeight="true" outlineLevel="0" collapsed="false">
      <c r="A222" s="12" t="s">
        <v>317</v>
      </c>
      <c r="B222" s="13" t="s">
        <v>78</v>
      </c>
      <c r="C222" s="12" t="s">
        <v>72</v>
      </c>
      <c r="D222" s="13" t="s">
        <v>59</v>
      </c>
      <c r="E222" s="13" t="s">
        <v>69</v>
      </c>
      <c r="F222" s="12" t="n">
        <v>318</v>
      </c>
      <c r="G222" s="14" t="n">
        <v>500</v>
      </c>
      <c r="H222" s="14" t="n">
        <v>159000</v>
      </c>
      <c r="I222" s="15" t="n">
        <v>10</v>
      </c>
      <c r="J222" s="16" t="n">
        <f aca="false">H222*(1-I222/100)</f>
        <v>143100</v>
      </c>
      <c r="K222" s="12" t="n">
        <v>5</v>
      </c>
      <c r="L222" s="12" t="s">
        <v>55</v>
      </c>
      <c r="M222" s="12" t="s">
        <v>61</v>
      </c>
    </row>
    <row r="223" customFormat="false" ht="15" hidden="false" customHeight="true" outlineLevel="0" collapsed="false">
      <c r="A223" s="17" t="s">
        <v>318</v>
      </c>
      <c r="B223" s="18" t="s">
        <v>45</v>
      </c>
      <c r="C223" s="17" t="s">
        <v>46</v>
      </c>
      <c r="D223" s="18" t="s">
        <v>95</v>
      </c>
      <c r="E223" s="18" t="s">
        <v>139</v>
      </c>
      <c r="F223" s="17" t="n">
        <v>161</v>
      </c>
      <c r="G223" s="19" t="n">
        <v>1000</v>
      </c>
      <c r="H223" s="19" t="n">
        <v>161000</v>
      </c>
      <c r="I223" s="20" t="n">
        <v>8</v>
      </c>
      <c r="J223" s="21" t="n">
        <f aca="false">H223*(1-I223/100)</f>
        <v>148120</v>
      </c>
      <c r="K223" s="17" t="n">
        <v>10</v>
      </c>
      <c r="L223" s="17" t="s">
        <v>49</v>
      </c>
      <c r="M223" s="17" t="s">
        <v>61</v>
      </c>
    </row>
    <row r="224" customFormat="false" ht="15" hidden="false" customHeight="true" outlineLevel="0" collapsed="false">
      <c r="A224" s="12" t="s">
        <v>319</v>
      </c>
      <c r="B224" s="13" t="s">
        <v>120</v>
      </c>
      <c r="C224" s="12" t="s">
        <v>72</v>
      </c>
      <c r="D224" s="13" t="s">
        <v>95</v>
      </c>
      <c r="E224" s="13" t="s">
        <v>96</v>
      </c>
      <c r="F224" s="12" t="n">
        <v>31</v>
      </c>
      <c r="G224" s="14" t="n">
        <v>1500</v>
      </c>
      <c r="H224" s="14" t="n">
        <v>46500</v>
      </c>
      <c r="I224" s="15" t="n">
        <v>10</v>
      </c>
      <c r="J224" s="16" t="n">
        <f aca="false">H224*(1-I224/100)</f>
        <v>41850</v>
      </c>
      <c r="K224" s="12" t="n">
        <v>7</v>
      </c>
      <c r="L224" s="12" t="s">
        <v>74</v>
      </c>
      <c r="M224" s="12" t="s">
        <v>61</v>
      </c>
    </row>
    <row r="225" customFormat="false" ht="15" hidden="false" customHeight="true" outlineLevel="0" collapsed="false">
      <c r="A225" s="17" t="s">
        <v>320</v>
      </c>
      <c r="B225" s="18" t="s">
        <v>71</v>
      </c>
      <c r="C225" s="17" t="s">
        <v>46</v>
      </c>
      <c r="D225" s="18" t="s">
        <v>47</v>
      </c>
      <c r="E225" s="18" t="s">
        <v>104</v>
      </c>
      <c r="F225" s="17" t="n">
        <v>217</v>
      </c>
      <c r="G225" s="19" t="n">
        <v>1500</v>
      </c>
      <c r="H225" s="19" t="n">
        <v>325500</v>
      </c>
      <c r="I225" s="20" t="n">
        <v>10</v>
      </c>
      <c r="J225" s="21" t="n">
        <f aca="false">H225*(1-I225/100)</f>
        <v>292950</v>
      </c>
      <c r="K225" s="17" t="n">
        <v>12</v>
      </c>
      <c r="L225" s="17" t="s">
        <v>49</v>
      </c>
      <c r="M225" s="17" t="s">
        <v>50</v>
      </c>
    </row>
    <row r="226" customFormat="false" ht="15" hidden="false" customHeight="true" outlineLevel="0" collapsed="false">
      <c r="A226" s="12" t="s">
        <v>321</v>
      </c>
      <c r="B226" s="13" t="s">
        <v>128</v>
      </c>
      <c r="C226" s="12" t="s">
        <v>79</v>
      </c>
      <c r="D226" s="13" t="s">
        <v>53</v>
      </c>
      <c r="E226" s="13" t="s">
        <v>129</v>
      </c>
      <c r="F226" s="12" t="n">
        <v>410</v>
      </c>
      <c r="G226" s="14" t="n">
        <v>3000</v>
      </c>
      <c r="H226" s="14" t="n">
        <v>1230000</v>
      </c>
      <c r="I226" s="15" t="n">
        <v>0</v>
      </c>
      <c r="J226" s="16" t="n">
        <f aca="false">H226*(1-I226/100)</f>
        <v>1230000</v>
      </c>
      <c r="K226" s="12" t="n">
        <v>3</v>
      </c>
      <c r="L226" s="12" t="s">
        <v>66</v>
      </c>
      <c r="M226" s="12" t="s">
        <v>50</v>
      </c>
    </row>
    <row r="227" customFormat="false" ht="15" hidden="false" customHeight="true" outlineLevel="0" collapsed="false">
      <c r="A227" s="17" t="s">
        <v>322</v>
      </c>
      <c r="B227" s="18" t="s">
        <v>111</v>
      </c>
      <c r="C227" s="17" t="s">
        <v>81</v>
      </c>
      <c r="D227" s="18" t="s">
        <v>95</v>
      </c>
      <c r="E227" s="18" t="s">
        <v>96</v>
      </c>
      <c r="F227" s="17" t="n">
        <v>496</v>
      </c>
      <c r="G227" s="19" t="n">
        <v>250</v>
      </c>
      <c r="H227" s="19" t="n">
        <v>124000</v>
      </c>
      <c r="I227" s="20" t="n">
        <v>10</v>
      </c>
      <c r="J227" s="21" t="n">
        <f aca="false">H227*(1-I227/100)</f>
        <v>111600</v>
      </c>
      <c r="K227" s="17" t="n">
        <v>3</v>
      </c>
      <c r="L227" s="17" t="s">
        <v>66</v>
      </c>
      <c r="M227" s="17" t="s">
        <v>61</v>
      </c>
    </row>
    <row r="228" customFormat="false" ht="15" hidden="false" customHeight="true" outlineLevel="0" collapsed="false">
      <c r="A228" s="12" t="s">
        <v>323</v>
      </c>
      <c r="B228" s="13" t="s">
        <v>76</v>
      </c>
      <c r="C228" s="12" t="s">
        <v>81</v>
      </c>
      <c r="D228" s="13" t="s">
        <v>107</v>
      </c>
      <c r="E228" s="13" t="s">
        <v>108</v>
      </c>
      <c r="F228" s="12" t="n">
        <v>303</v>
      </c>
      <c r="G228" s="14" t="n">
        <v>500</v>
      </c>
      <c r="H228" s="14" t="n">
        <v>151500</v>
      </c>
      <c r="I228" s="15" t="n">
        <v>10</v>
      </c>
      <c r="J228" s="16" t="n">
        <f aca="false">H228*(1-I228/100)</f>
        <v>136350</v>
      </c>
      <c r="K228" s="12" t="n">
        <v>6</v>
      </c>
      <c r="L228" s="12" t="s">
        <v>55</v>
      </c>
      <c r="M228" s="12" t="s">
        <v>61</v>
      </c>
    </row>
    <row r="229" customFormat="false" ht="15" hidden="false" customHeight="true" outlineLevel="0" collapsed="false">
      <c r="A229" s="17" t="s">
        <v>324</v>
      </c>
      <c r="B229" s="18" t="s">
        <v>68</v>
      </c>
      <c r="C229" s="17" t="s">
        <v>81</v>
      </c>
      <c r="D229" s="18" t="s">
        <v>64</v>
      </c>
      <c r="E229" s="18" t="s">
        <v>85</v>
      </c>
      <c r="F229" s="17" t="n">
        <v>23</v>
      </c>
      <c r="G229" s="19" t="n">
        <v>500</v>
      </c>
      <c r="H229" s="19" t="n">
        <v>11500</v>
      </c>
      <c r="I229" s="20" t="n">
        <v>8</v>
      </c>
      <c r="J229" s="21" t="n">
        <f aca="false">H229*(1-I229/100)</f>
        <v>10580</v>
      </c>
      <c r="K229" s="17" t="n">
        <v>9</v>
      </c>
      <c r="L229" s="17" t="s">
        <v>74</v>
      </c>
      <c r="M229" s="17" t="s">
        <v>61</v>
      </c>
    </row>
    <row r="230" customFormat="false" ht="15" hidden="false" customHeight="true" outlineLevel="0" collapsed="false">
      <c r="A230" s="12" t="s">
        <v>325</v>
      </c>
      <c r="B230" s="13" t="s">
        <v>52</v>
      </c>
      <c r="C230" s="12" t="s">
        <v>46</v>
      </c>
      <c r="D230" s="13" t="s">
        <v>95</v>
      </c>
      <c r="E230" s="13" t="s">
        <v>96</v>
      </c>
      <c r="F230" s="12" t="n">
        <v>370</v>
      </c>
      <c r="G230" s="14" t="n">
        <v>3000</v>
      </c>
      <c r="H230" s="14" t="n">
        <v>1110000</v>
      </c>
      <c r="I230" s="15" t="n">
        <v>2</v>
      </c>
      <c r="J230" s="16" t="n">
        <f aca="false">H230*(1-I230/100)</f>
        <v>1087800</v>
      </c>
      <c r="K230" s="12" t="n">
        <v>10</v>
      </c>
      <c r="L230" s="12" t="s">
        <v>49</v>
      </c>
      <c r="M230" s="12" t="s">
        <v>61</v>
      </c>
    </row>
    <row r="231" customFormat="false" ht="15" hidden="false" customHeight="true" outlineLevel="0" collapsed="false">
      <c r="A231" s="17" t="s">
        <v>326</v>
      </c>
      <c r="B231" s="18" t="s">
        <v>100</v>
      </c>
      <c r="C231" s="17" t="s">
        <v>79</v>
      </c>
      <c r="D231" s="18" t="s">
        <v>59</v>
      </c>
      <c r="E231" s="18" t="s">
        <v>131</v>
      </c>
      <c r="F231" s="17" t="n">
        <v>446</v>
      </c>
      <c r="G231" s="19" t="n">
        <v>350</v>
      </c>
      <c r="H231" s="19" t="n">
        <v>156100</v>
      </c>
      <c r="I231" s="20" t="n">
        <v>8</v>
      </c>
      <c r="J231" s="21" t="n">
        <f aca="false">H231*(1-I231/100)</f>
        <v>143612</v>
      </c>
      <c r="K231" s="17" t="n">
        <v>3</v>
      </c>
      <c r="L231" s="17" t="s">
        <v>66</v>
      </c>
      <c r="M231" s="17" t="s">
        <v>61</v>
      </c>
    </row>
    <row r="232" customFormat="false" ht="15" hidden="false" customHeight="true" outlineLevel="0" collapsed="false">
      <c r="A232" s="12" t="s">
        <v>327</v>
      </c>
      <c r="B232" s="13" t="s">
        <v>78</v>
      </c>
      <c r="C232" s="12" t="s">
        <v>81</v>
      </c>
      <c r="D232" s="13" t="s">
        <v>47</v>
      </c>
      <c r="E232" s="13" t="s">
        <v>48</v>
      </c>
      <c r="F232" s="12" t="n">
        <v>373</v>
      </c>
      <c r="G232" s="14" t="n">
        <v>350</v>
      </c>
      <c r="H232" s="14" t="n">
        <v>130550</v>
      </c>
      <c r="I232" s="15" t="n">
        <v>10</v>
      </c>
      <c r="J232" s="16" t="n">
        <f aca="false">H232*(1-I232/100)</f>
        <v>117495</v>
      </c>
      <c r="K232" s="12" t="n">
        <v>9</v>
      </c>
      <c r="L232" s="12" t="s">
        <v>74</v>
      </c>
      <c r="M232" s="12" t="s">
        <v>61</v>
      </c>
    </row>
    <row r="233" customFormat="false" ht="15" hidden="false" customHeight="true" outlineLevel="0" collapsed="false">
      <c r="A233" s="17" t="s">
        <v>328</v>
      </c>
      <c r="B233" s="18" t="s">
        <v>141</v>
      </c>
      <c r="C233" s="17" t="s">
        <v>79</v>
      </c>
      <c r="D233" s="18" t="s">
        <v>47</v>
      </c>
      <c r="E233" s="18" t="s">
        <v>104</v>
      </c>
      <c r="F233" s="17" t="n">
        <v>484</v>
      </c>
      <c r="G233" s="19" t="n">
        <v>500</v>
      </c>
      <c r="H233" s="19" t="n">
        <v>242000</v>
      </c>
      <c r="I233" s="20" t="n">
        <v>15</v>
      </c>
      <c r="J233" s="21" t="n">
        <f aca="false">H233*(1-I233/100)</f>
        <v>205700</v>
      </c>
      <c r="K233" s="17" t="n">
        <v>6</v>
      </c>
      <c r="L233" s="17" t="s">
        <v>55</v>
      </c>
      <c r="M233" s="17" t="s">
        <v>50</v>
      </c>
    </row>
    <row r="234" customFormat="false" ht="15" hidden="false" customHeight="true" outlineLevel="0" collapsed="false">
      <c r="A234" s="12" t="s">
        <v>329</v>
      </c>
      <c r="B234" s="13" t="s">
        <v>45</v>
      </c>
      <c r="C234" s="12" t="s">
        <v>79</v>
      </c>
      <c r="D234" s="13" t="s">
        <v>64</v>
      </c>
      <c r="E234" s="13" t="s">
        <v>85</v>
      </c>
      <c r="F234" s="12" t="n">
        <v>414</v>
      </c>
      <c r="G234" s="14" t="n">
        <v>3000</v>
      </c>
      <c r="H234" s="14" t="n">
        <v>1242000</v>
      </c>
      <c r="I234" s="15" t="n">
        <v>0</v>
      </c>
      <c r="J234" s="16" t="n">
        <f aca="false">H234*(1-I234/100)</f>
        <v>1242000</v>
      </c>
      <c r="K234" s="12" t="n">
        <v>6</v>
      </c>
      <c r="L234" s="12" t="s">
        <v>55</v>
      </c>
      <c r="M234" s="12" t="s">
        <v>61</v>
      </c>
    </row>
    <row r="235" customFormat="false" ht="15" hidden="false" customHeight="true" outlineLevel="0" collapsed="false">
      <c r="A235" s="17" t="s">
        <v>330</v>
      </c>
      <c r="B235" s="18" t="s">
        <v>106</v>
      </c>
      <c r="C235" s="17" t="s">
        <v>58</v>
      </c>
      <c r="D235" s="18" t="s">
        <v>64</v>
      </c>
      <c r="E235" s="18" t="s">
        <v>65</v>
      </c>
      <c r="F235" s="17" t="n">
        <v>462</v>
      </c>
      <c r="G235" s="19" t="n">
        <v>350</v>
      </c>
      <c r="H235" s="19" t="n">
        <v>161700</v>
      </c>
      <c r="I235" s="20" t="n">
        <v>0</v>
      </c>
      <c r="J235" s="21" t="n">
        <f aca="false">H235*(1-I235/100)</f>
        <v>161700</v>
      </c>
      <c r="K235" s="17" t="n">
        <v>5</v>
      </c>
      <c r="L235" s="17" t="s">
        <v>55</v>
      </c>
      <c r="M235" s="17" t="s">
        <v>61</v>
      </c>
    </row>
    <row r="236" customFormat="false" ht="15" hidden="false" customHeight="true" outlineLevel="0" collapsed="false">
      <c r="A236" s="12" t="s">
        <v>331</v>
      </c>
      <c r="B236" s="13" t="s">
        <v>100</v>
      </c>
      <c r="C236" s="12" t="s">
        <v>58</v>
      </c>
      <c r="D236" s="13" t="s">
        <v>107</v>
      </c>
      <c r="E236" s="13" t="s">
        <v>135</v>
      </c>
      <c r="F236" s="12" t="n">
        <v>431</v>
      </c>
      <c r="G236" s="14" t="n">
        <v>350</v>
      </c>
      <c r="H236" s="14" t="n">
        <v>150850</v>
      </c>
      <c r="I236" s="15" t="n">
        <v>2</v>
      </c>
      <c r="J236" s="16" t="n">
        <f aca="false">H236*(1-I236/100)</f>
        <v>147833</v>
      </c>
      <c r="K236" s="12" t="n">
        <v>6</v>
      </c>
      <c r="L236" s="12" t="s">
        <v>55</v>
      </c>
      <c r="M236" s="12" t="s">
        <v>50</v>
      </c>
    </row>
    <row r="237" customFormat="false" ht="15" hidden="false" customHeight="true" outlineLevel="0" collapsed="false">
      <c r="A237" s="17" t="s">
        <v>332</v>
      </c>
      <c r="B237" s="18" t="s">
        <v>106</v>
      </c>
      <c r="C237" s="17" t="s">
        <v>72</v>
      </c>
      <c r="D237" s="18" t="s">
        <v>47</v>
      </c>
      <c r="E237" s="18" t="s">
        <v>104</v>
      </c>
      <c r="F237" s="17" t="n">
        <v>186</v>
      </c>
      <c r="G237" s="19" t="n">
        <v>500</v>
      </c>
      <c r="H237" s="19" t="n">
        <v>93000</v>
      </c>
      <c r="I237" s="20" t="n">
        <v>15</v>
      </c>
      <c r="J237" s="21" t="n">
        <f aca="false">H237*(1-I237/100)</f>
        <v>79050</v>
      </c>
      <c r="K237" s="17" t="n">
        <v>9</v>
      </c>
      <c r="L237" s="17" t="s">
        <v>74</v>
      </c>
      <c r="M237" s="17" t="s">
        <v>50</v>
      </c>
    </row>
    <row r="238" customFormat="false" ht="15" hidden="false" customHeight="true" outlineLevel="0" collapsed="false">
      <c r="A238" s="12" t="s">
        <v>333</v>
      </c>
      <c r="B238" s="13" t="s">
        <v>89</v>
      </c>
      <c r="C238" s="12" t="s">
        <v>72</v>
      </c>
      <c r="D238" s="13" t="s">
        <v>53</v>
      </c>
      <c r="E238" s="13" t="s">
        <v>73</v>
      </c>
      <c r="F238" s="12" t="n">
        <v>435</v>
      </c>
      <c r="G238" s="14" t="n">
        <v>350</v>
      </c>
      <c r="H238" s="14" t="n">
        <v>152250</v>
      </c>
      <c r="I238" s="15" t="n">
        <v>10</v>
      </c>
      <c r="J238" s="16" t="n">
        <f aca="false">H238*(1-I238/100)</f>
        <v>137025</v>
      </c>
      <c r="K238" s="12" t="n">
        <v>3</v>
      </c>
      <c r="L238" s="12" t="s">
        <v>66</v>
      </c>
      <c r="M238" s="12" t="s">
        <v>61</v>
      </c>
    </row>
    <row r="239" customFormat="false" ht="15" hidden="false" customHeight="true" outlineLevel="0" collapsed="false">
      <c r="A239" s="17" t="s">
        <v>334</v>
      </c>
      <c r="B239" s="18" t="s">
        <v>120</v>
      </c>
      <c r="C239" s="17" t="s">
        <v>79</v>
      </c>
      <c r="D239" s="18" t="s">
        <v>95</v>
      </c>
      <c r="E239" s="18" t="s">
        <v>139</v>
      </c>
      <c r="F239" s="17" t="n">
        <v>125</v>
      </c>
      <c r="G239" s="19" t="n">
        <v>1500</v>
      </c>
      <c r="H239" s="19" t="n">
        <v>187500</v>
      </c>
      <c r="I239" s="20" t="n">
        <v>10</v>
      </c>
      <c r="J239" s="21" t="n">
        <f aca="false">H239*(1-I239/100)</f>
        <v>168750</v>
      </c>
      <c r="K239" s="17" t="n">
        <v>5</v>
      </c>
      <c r="L239" s="17" t="s">
        <v>55</v>
      </c>
      <c r="M239" s="17" t="s">
        <v>50</v>
      </c>
    </row>
    <row r="240" customFormat="false" ht="15" hidden="false" customHeight="true" outlineLevel="0" collapsed="false">
      <c r="A240" s="12" t="s">
        <v>335</v>
      </c>
      <c r="B240" s="13" t="s">
        <v>63</v>
      </c>
      <c r="C240" s="12" t="s">
        <v>79</v>
      </c>
      <c r="D240" s="13" t="s">
        <v>47</v>
      </c>
      <c r="E240" s="13" t="s">
        <v>104</v>
      </c>
      <c r="F240" s="12" t="n">
        <v>150</v>
      </c>
      <c r="G240" s="14" t="n">
        <v>500</v>
      </c>
      <c r="H240" s="14" t="n">
        <v>75000</v>
      </c>
      <c r="I240" s="15" t="n">
        <v>12</v>
      </c>
      <c r="J240" s="16" t="n">
        <f aca="false">H240*(1-I240/100)</f>
        <v>66000</v>
      </c>
      <c r="K240" s="12" t="n">
        <v>5</v>
      </c>
      <c r="L240" s="12" t="s">
        <v>55</v>
      </c>
      <c r="M240" s="12" t="s">
        <v>50</v>
      </c>
    </row>
    <row r="241" customFormat="false" ht="15" hidden="false" customHeight="true" outlineLevel="0" collapsed="false">
      <c r="A241" s="17" t="s">
        <v>336</v>
      </c>
      <c r="B241" s="18" t="s">
        <v>57</v>
      </c>
      <c r="C241" s="17" t="s">
        <v>79</v>
      </c>
      <c r="D241" s="18" t="s">
        <v>53</v>
      </c>
      <c r="E241" s="18" t="s">
        <v>129</v>
      </c>
      <c r="F241" s="17" t="n">
        <v>88</v>
      </c>
      <c r="G241" s="19" t="n">
        <v>500</v>
      </c>
      <c r="H241" s="19" t="n">
        <v>44000</v>
      </c>
      <c r="I241" s="20" t="n">
        <v>12</v>
      </c>
      <c r="J241" s="21" t="n">
        <f aca="false">H241*(1-I241/100)</f>
        <v>38720</v>
      </c>
      <c r="K241" s="17" t="n">
        <v>10</v>
      </c>
      <c r="L241" s="17" t="s">
        <v>49</v>
      </c>
      <c r="M241" s="17" t="s">
        <v>61</v>
      </c>
    </row>
    <row r="242" customFormat="false" ht="15" hidden="false" customHeight="true" outlineLevel="0" collapsed="false">
      <c r="A242" s="12" t="s">
        <v>337</v>
      </c>
      <c r="B242" s="13" t="s">
        <v>71</v>
      </c>
      <c r="C242" s="12" t="s">
        <v>46</v>
      </c>
      <c r="D242" s="13" t="s">
        <v>59</v>
      </c>
      <c r="E242" s="13" t="s">
        <v>131</v>
      </c>
      <c r="F242" s="12" t="n">
        <v>495</v>
      </c>
      <c r="G242" s="14" t="n">
        <v>1000</v>
      </c>
      <c r="H242" s="14" t="n">
        <v>495000</v>
      </c>
      <c r="I242" s="15" t="n">
        <v>12</v>
      </c>
      <c r="J242" s="16" t="n">
        <f aca="false">H242*(1-I242/100)</f>
        <v>435600</v>
      </c>
      <c r="K242" s="12" t="n">
        <v>4</v>
      </c>
      <c r="L242" s="12" t="s">
        <v>55</v>
      </c>
      <c r="M242" s="12" t="s">
        <v>61</v>
      </c>
    </row>
    <row r="243" customFormat="false" ht="15" hidden="false" customHeight="true" outlineLevel="0" collapsed="false">
      <c r="A243" s="17" t="s">
        <v>338</v>
      </c>
      <c r="B243" s="18" t="s">
        <v>128</v>
      </c>
      <c r="C243" s="17" t="s">
        <v>72</v>
      </c>
      <c r="D243" s="18" t="s">
        <v>47</v>
      </c>
      <c r="E243" s="18" t="s">
        <v>104</v>
      </c>
      <c r="F243" s="17" t="n">
        <v>158</v>
      </c>
      <c r="G243" s="19" t="n">
        <v>1000</v>
      </c>
      <c r="H243" s="19" t="n">
        <v>158000</v>
      </c>
      <c r="I243" s="20" t="n">
        <v>8</v>
      </c>
      <c r="J243" s="21" t="n">
        <f aca="false">H243*(1-I243/100)</f>
        <v>145360</v>
      </c>
      <c r="K243" s="17" t="n">
        <v>4</v>
      </c>
      <c r="L243" s="17" t="s">
        <v>55</v>
      </c>
      <c r="M243" s="17" t="s">
        <v>61</v>
      </c>
    </row>
    <row r="244" customFormat="false" ht="15" hidden="false" customHeight="true" outlineLevel="0" collapsed="false">
      <c r="A244" s="12" t="s">
        <v>339</v>
      </c>
      <c r="B244" s="13" t="s">
        <v>141</v>
      </c>
      <c r="C244" s="12" t="s">
        <v>72</v>
      </c>
      <c r="D244" s="13" t="s">
        <v>59</v>
      </c>
      <c r="E244" s="13" t="s">
        <v>60</v>
      </c>
      <c r="F244" s="12" t="n">
        <v>40</v>
      </c>
      <c r="G244" s="14" t="n">
        <v>500</v>
      </c>
      <c r="H244" s="14" t="n">
        <v>20000</v>
      </c>
      <c r="I244" s="15" t="n">
        <v>8</v>
      </c>
      <c r="J244" s="16" t="n">
        <f aca="false">H244*(1-I244/100)</f>
        <v>18400</v>
      </c>
      <c r="K244" s="12" t="n">
        <v>7</v>
      </c>
      <c r="L244" s="12" t="s">
        <v>74</v>
      </c>
      <c r="M244" s="12" t="s">
        <v>61</v>
      </c>
    </row>
    <row r="245" customFormat="false" ht="15" hidden="false" customHeight="true" outlineLevel="0" collapsed="false">
      <c r="A245" s="17" t="s">
        <v>340</v>
      </c>
      <c r="B245" s="18" t="s">
        <v>106</v>
      </c>
      <c r="C245" s="17" t="s">
        <v>79</v>
      </c>
      <c r="D245" s="18" t="s">
        <v>95</v>
      </c>
      <c r="E245" s="18" t="s">
        <v>139</v>
      </c>
      <c r="F245" s="17" t="n">
        <v>83</v>
      </c>
      <c r="G245" s="19" t="n">
        <v>1500</v>
      </c>
      <c r="H245" s="19" t="n">
        <v>124500</v>
      </c>
      <c r="I245" s="20" t="n">
        <v>15</v>
      </c>
      <c r="J245" s="21" t="n">
        <f aca="false">H245*(1-I245/100)</f>
        <v>105825</v>
      </c>
      <c r="K245" s="17" t="n">
        <v>12</v>
      </c>
      <c r="L245" s="17" t="s">
        <v>49</v>
      </c>
      <c r="M245" s="17" t="s">
        <v>61</v>
      </c>
    </row>
    <row r="246" customFormat="false" ht="15" hidden="false" customHeight="true" outlineLevel="0" collapsed="false">
      <c r="A246" s="12" t="s">
        <v>341</v>
      </c>
      <c r="B246" s="13" t="s">
        <v>76</v>
      </c>
      <c r="C246" s="12" t="s">
        <v>72</v>
      </c>
      <c r="D246" s="13" t="s">
        <v>64</v>
      </c>
      <c r="E246" s="13" t="s">
        <v>83</v>
      </c>
      <c r="F246" s="12" t="n">
        <v>273</v>
      </c>
      <c r="G246" s="14" t="n">
        <v>5000</v>
      </c>
      <c r="H246" s="14" t="n">
        <v>1365000</v>
      </c>
      <c r="I246" s="15" t="n">
        <v>0</v>
      </c>
      <c r="J246" s="16" t="n">
        <f aca="false">H246*(1-I246/100)</f>
        <v>1365000</v>
      </c>
      <c r="K246" s="12" t="n">
        <v>6</v>
      </c>
      <c r="L246" s="12" t="s">
        <v>55</v>
      </c>
      <c r="M246" s="12" t="s">
        <v>50</v>
      </c>
    </row>
    <row r="247" customFormat="false" ht="15" hidden="false" customHeight="true" outlineLevel="0" collapsed="false">
      <c r="A247" s="17" t="s">
        <v>342</v>
      </c>
      <c r="B247" s="18" t="s">
        <v>106</v>
      </c>
      <c r="C247" s="17" t="s">
        <v>46</v>
      </c>
      <c r="D247" s="18" t="s">
        <v>95</v>
      </c>
      <c r="E247" s="18" t="s">
        <v>96</v>
      </c>
      <c r="F247" s="17" t="n">
        <v>136</v>
      </c>
      <c r="G247" s="19" t="n">
        <v>500</v>
      </c>
      <c r="H247" s="19" t="n">
        <v>68000</v>
      </c>
      <c r="I247" s="20" t="n">
        <v>0</v>
      </c>
      <c r="J247" s="21" t="n">
        <f aca="false">H247*(1-I247/100)</f>
        <v>68000</v>
      </c>
      <c r="K247" s="17" t="n">
        <v>1</v>
      </c>
      <c r="L247" s="17" t="s">
        <v>66</v>
      </c>
      <c r="M247" s="17" t="s">
        <v>61</v>
      </c>
    </row>
    <row r="248" customFormat="false" ht="15" hidden="false" customHeight="true" outlineLevel="0" collapsed="false">
      <c r="A248" s="12" t="s">
        <v>343</v>
      </c>
      <c r="B248" s="13" t="s">
        <v>91</v>
      </c>
      <c r="C248" s="12" t="s">
        <v>58</v>
      </c>
      <c r="D248" s="13" t="s">
        <v>107</v>
      </c>
      <c r="E248" s="13" t="s">
        <v>108</v>
      </c>
      <c r="F248" s="12" t="n">
        <v>453</v>
      </c>
      <c r="G248" s="14" t="n">
        <v>500</v>
      </c>
      <c r="H248" s="14" t="n">
        <v>226500</v>
      </c>
      <c r="I248" s="15" t="n">
        <v>15</v>
      </c>
      <c r="J248" s="16" t="n">
        <f aca="false">H248*(1-I248/100)</f>
        <v>192525</v>
      </c>
      <c r="K248" s="12" t="n">
        <v>6</v>
      </c>
      <c r="L248" s="12" t="s">
        <v>55</v>
      </c>
      <c r="M248" s="12" t="s">
        <v>61</v>
      </c>
    </row>
    <row r="249" customFormat="false" ht="15" hidden="false" customHeight="true" outlineLevel="0" collapsed="false">
      <c r="A249" s="17" t="s">
        <v>344</v>
      </c>
      <c r="B249" s="18" t="s">
        <v>87</v>
      </c>
      <c r="C249" s="17" t="s">
        <v>79</v>
      </c>
      <c r="D249" s="18" t="s">
        <v>107</v>
      </c>
      <c r="E249" s="18" t="s">
        <v>117</v>
      </c>
      <c r="F249" s="17" t="n">
        <v>249</v>
      </c>
      <c r="G249" s="19" t="n">
        <v>3000</v>
      </c>
      <c r="H249" s="19" t="n">
        <v>747000</v>
      </c>
      <c r="I249" s="20" t="n">
        <v>5</v>
      </c>
      <c r="J249" s="21" t="n">
        <f aca="false">H249*(1-I249/100)</f>
        <v>709650</v>
      </c>
      <c r="K249" s="17" t="n">
        <v>8</v>
      </c>
      <c r="L249" s="17" t="s">
        <v>74</v>
      </c>
      <c r="M249" s="17" t="s">
        <v>50</v>
      </c>
    </row>
    <row r="250" customFormat="false" ht="15" hidden="false" customHeight="true" outlineLevel="0" collapsed="false">
      <c r="A250" s="12" t="s">
        <v>345</v>
      </c>
      <c r="B250" s="13" t="s">
        <v>78</v>
      </c>
      <c r="C250" s="12" t="s">
        <v>72</v>
      </c>
      <c r="D250" s="13" t="s">
        <v>53</v>
      </c>
      <c r="E250" s="13" t="s">
        <v>54</v>
      </c>
      <c r="F250" s="12" t="n">
        <v>133</v>
      </c>
      <c r="G250" s="14" t="n">
        <v>750</v>
      </c>
      <c r="H250" s="14" t="n">
        <v>99750</v>
      </c>
      <c r="I250" s="15" t="n">
        <v>10</v>
      </c>
      <c r="J250" s="16" t="n">
        <f aca="false">H250*(1-I250/100)</f>
        <v>89775</v>
      </c>
      <c r="K250" s="12" t="n">
        <v>6</v>
      </c>
      <c r="L250" s="12" t="s">
        <v>55</v>
      </c>
      <c r="M250" s="12" t="s">
        <v>50</v>
      </c>
    </row>
    <row r="251" customFormat="false" ht="15" hidden="false" customHeight="true" outlineLevel="0" collapsed="false">
      <c r="A251" s="17" t="s">
        <v>346</v>
      </c>
      <c r="B251" s="18" t="s">
        <v>71</v>
      </c>
      <c r="C251" s="17" t="s">
        <v>81</v>
      </c>
      <c r="D251" s="18" t="s">
        <v>107</v>
      </c>
      <c r="E251" s="18" t="s">
        <v>117</v>
      </c>
      <c r="F251" s="17" t="n">
        <v>461</v>
      </c>
      <c r="G251" s="19" t="n">
        <v>3000</v>
      </c>
      <c r="H251" s="19" t="n">
        <v>1383000</v>
      </c>
      <c r="I251" s="20" t="n">
        <v>5</v>
      </c>
      <c r="J251" s="21" t="n">
        <f aca="false">H251*(1-I251/100)</f>
        <v>1313850</v>
      </c>
      <c r="K251" s="17" t="n">
        <v>9</v>
      </c>
      <c r="L251" s="17" t="s">
        <v>74</v>
      </c>
      <c r="M251" s="17" t="s">
        <v>50</v>
      </c>
    </row>
    <row r="252" customFormat="false" ht="15" hidden="false" customHeight="true" outlineLevel="0" collapsed="false">
      <c r="A252" s="12" t="s">
        <v>347</v>
      </c>
      <c r="B252" s="13" t="s">
        <v>45</v>
      </c>
      <c r="C252" s="12" t="s">
        <v>72</v>
      </c>
      <c r="D252" s="13" t="s">
        <v>64</v>
      </c>
      <c r="E252" s="13" t="s">
        <v>83</v>
      </c>
      <c r="F252" s="12" t="n">
        <v>382</v>
      </c>
      <c r="G252" s="14" t="n">
        <v>1500</v>
      </c>
      <c r="H252" s="14" t="n">
        <v>573000</v>
      </c>
      <c r="I252" s="15" t="n">
        <v>15</v>
      </c>
      <c r="J252" s="16" t="n">
        <f aca="false">H252*(1-I252/100)</f>
        <v>487050</v>
      </c>
      <c r="K252" s="12" t="n">
        <v>7</v>
      </c>
      <c r="L252" s="12" t="s">
        <v>74</v>
      </c>
      <c r="M252" s="12" t="s">
        <v>61</v>
      </c>
    </row>
    <row r="253" customFormat="false" ht="15" hidden="false" customHeight="true" outlineLevel="0" collapsed="false">
      <c r="A253" s="17" t="s">
        <v>348</v>
      </c>
      <c r="B253" s="18" t="s">
        <v>71</v>
      </c>
      <c r="C253" s="17" t="s">
        <v>72</v>
      </c>
      <c r="D253" s="18" t="s">
        <v>59</v>
      </c>
      <c r="E253" s="18" t="s">
        <v>60</v>
      </c>
      <c r="F253" s="17" t="n">
        <v>297</v>
      </c>
      <c r="G253" s="19" t="n">
        <v>750</v>
      </c>
      <c r="H253" s="19" t="n">
        <v>222750</v>
      </c>
      <c r="I253" s="20" t="n">
        <v>5</v>
      </c>
      <c r="J253" s="21" t="n">
        <f aca="false">H253*(1-I253/100)</f>
        <v>211612.5</v>
      </c>
      <c r="K253" s="17" t="n">
        <v>9</v>
      </c>
      <c r="L253" s="17" t="s">
        <v>74</v>
      </c>
      <c r="M253" s="17" t="s">
        <v>61</v>
      </c>
    </row>
    <row r="254" customFormat="false" ht="15" hidden="false" customHeight="true" outlineLevel="0" collapsed="false">
      <c r="A254" s="12" t="s">
        <v>349</v>
      </c>
      <c r="B254" s="13" t="s">
        <v>78</v>
      </c>
      <c r="C254" s="12" t="s">
        <v>72</v>
      </c>
      <c r="D254" s="13" t="s">
        <v>53</v>
      </c>
      <c r="E254" s="13" t="s">
        <v>54</v>
      </c>
      <c r="F254" s="12" t="n">
        <v>401</v>
      </c>
      <c r="G254" s="14" t="n">
        <v>5000</v>
      </c>
      <c r="H254" s="14" t="n">
        <v>2005000</v>
      </c>
      <c r="I254" s="15" t="n">
        <v>5</v>
      </c>
      <c r="J254" s="16" t="n">
        <f aca="false">H254*(1-I254/100)</f>
        <v>1904750</v>
      </c>
      <c r="K254" s="12" t="n">
        <v>10</v>
      </c>
      <c r="L254" s="12" t="s">
        <v>49</v>
      </c>
      <c r="M254" s="12" t="s">
        <v>50</v>
      </c>
    </row>
    <row r="255" customFormat="false" ht="15" hidden="false" customHeight="true" outlineLevel="0" collapsed="false">
      <c r="A255" s="17" t="s">
        <v>350</v>
      </c>
      <c r="B255" s="18" t="s">
        <v>89</v>
      </c>
      <c r="C255" s="17" t="s">
        <v>46</v>
      </c>
      <c r="D255" s="18" t="s">
        <v>107</v>
      </c>
      <c r="E255" s="18" t="s">
        <v>135</v>
      </c>
      <c r="F255" s="17" t="n">
        <v>416</v>
      </c>
      <c r="G255" s="19" t="n">
        <v>1500</v>
      </c>
      <c r="H255" s="19" t="n">
        <v>624000</v>
      </c>
      <c r="I255" s="20" t="n">
        <v>10</v>
      </c>
      <c r="J255" s="21" t="n">
        <f aca="false">H255*(1-I255/100)</f>
        <v>561600</v>
      </c>
      <c r="K255" s="17" t="n">
        <v>6</v>
      </c>
      <c r="L255" s="17" t="s">
        <v>55</v>
      </c>
      <c r="M255" s="17" t="s">
        <v>50</v>
      </c>
    </row>
    <row r="256" customFormat="false" ht="15" hidden="false" customHeight="true" outlineLevel="0" collapsed="false">
      <c r="A256" s="12" t="s">
        <v>351</v>
      </c>
      <c r="B256" s="13" t="s">
        <v>87</v>
      </c>
      <c r="C256" s="12" t="s">
        <v>58</v>
      </c>
      <c r="D256" s="13" t="s">
        <v>53</v>
      </c>
      <c r="E256" s="13" t="s">
        <v>54</v>
      </c>
      <c r="F256" s="12" t="n">
        <v>266</v>
      </c>
      <c r="G256" s="14" t="n">
        <v>250</v>
      </c>
      <c r="H256" s="14" t="n">
        <v>66500</v>
      </c>
      <c r="I256" s="15" t="n">
        <v>0</v>
      </c>
      <c r="J256" s="16" t="n">
        <f aca="false">H256*(1-I256/100)</f>
        <v>66500</v>
      </c>
      <c r="K256" s="12" t="n">
        <v>1</v>
      </c>
      <c r="L256" s="12" t="s">
        <v>66</v>
      </c>
      <c r="M256" s="12" t="s">
        <v>50</v>
      </c>
    </row>
    <row r="257" customFormat="false" ht="15" hidden="false" customHeight="true" outlineLevel="0" collapsed="false">
      <c r="A257" s="17" t="s">
        <v>352</v>
      </c>
      <c r="B257" s="18" t="s">
        <v>68</v>
      </c>
      <c r="C257" s="17" t="s">
        <v>72</v>
      </c>
      <c r="D257" s="18" t="s">
        <v>53</v>
      </c>
      <c r="E257" s="18" t="s">
        <v>54</v>
      </c>
      <c r="F257" s="17" t="n">
        <v>86</v>
      </c>
      <c r="G257" s="19" t="n">
        <v>5000</v>
      </c>
      <c r="H257" s="19" t="n">
        <v>430000</v>
      </c>
      <c r="I257" s="20" t="n">
        <v>2</v>
      </c>
      <c r="J257" s="21" t="n">
        <f aca="false">H257*(1-I257/100)</f>
        <v>421400</v>
      </c>
      <c r="K257" s="17" t="n">
        <v>6</v>
      </c>
      <c r="L257" s="17" t="s">
        <v>55</v>
      </c>
      <c r="M257" s="17" t="s">
        <v>61</v>
      </c>
    </row>
    <row r="258" customFormat="false" ht="15" hidden="false" customHeight="true" outlineLevel="0" collapsed="false">
      <c r="A258" s="12" t="s">
        <v>353</v>
      </c>
      <c r="B258" s="13" t="s">
        <v>120</v>
      </c>
      <c r="C258" s="12" t="s">
        <v>72</v>
      </c>
      <c r="D258" s="13" t="s">
        <v>53</v>
      </c>
      <c r="E258" s="13" t="s">
        <v>129</v>
      </c>
      <c r="F258" s="12" t="n">
        <v>441</v>
      </c>
      <c r="G258" s="14" t="n">
        <v>1000</v>
      </c>
      <c r="H258" s="14" t="n">
        <v>441000</v>
      </c>
      <c r="I258" s="15" t="n">
        <v>10</v>
      </c>
      <c r="J258" s="16" t="n">
        <f aca="false">H258*(1-I258/100)</f>
        <v>396900</v>
      </c>
      <c r="K258" s="12" t="n">
        <v>6</v>
      </c>
      <c r="L258" s="12" t="s">
        <v>55</v>
      </c>
      <c r="M258" s="12" t="s">
        <v>61</v>
      </c>
    </row>
    <row r="259" customFormat="false" ht="15" hidden="false" customHeight="true" outlineLevel="0" collapsed="false">
      <c r="A259" s="17" t="s">
        <v>354</v>
      </c>
      <c r="B259" s="18" t="s">
        <v>141</v>
      </c>
      <c r="C259" s="17" t="s">
        <v>72</v>
      </c>
      <c r="D259" s="18" t="s">
        <v>59</v>
      </c>
      <c r="E259" s="18" t="s">
        <v>69</v>
      </c>
      <c r="F259" s="17" t="n">
        <v>179</v>
      </c>
      <c r="G259" s="19" t="n">
        <v>350</v>
      </c>
      <c r="H259" s="19" t="n">
        <v>62650</v>
      </c>
      <c r="I259" s="20" t="n">
        <v>8</v>
      </c>
      <c r="J259" s="21" t="n">
        <f aca="false">H259*(1-I259/100)</f>
        <v>57638</v>
      </c>
      <c r="K259" s="17" t="n">
        <v>10</v>
      </c>
      <c r="L259" s="17" t="s">
        <v>49</v>
      </c>
      <c r="M259" s="17" t="s">
        <v>61</v>
      </c>
    </row>
    <row r="260" customFormat="false" ht="15" hidden="false" customHeight="true" outlineLevel="0" collapsed="false">
      <c r="A260" s="12" t="s">
        <v>355</v>
      </c>
      <c r="B260" s="13" t="s">
        <v>128</v>
      </c>
      <c r="C260" s="12" t="s">
        <v>58</v>
      </c>
      <c r="D260" s="13" t="s">
        <v>107</v>
      </c>
      <c r="E260" s="13" t="s">
        <v>135</v>
      </c>
      <c r="F260" s="12" t="n">
        <v>345</v>
      </c>
      <c r="G260" s="14" t="n">
        <v>750</v>
      </c>
      <c r="H260" s="14" t="n">
        <v>258750</v>
      </c>
      <c r="I260" s="15" t="n">
        <v>12</v>
      </c>
      <c r="J260" s="16" t="n">
        <f aca="false">H260*(1-I260/100)</f>
        <v>227700</v>
      </c>
      <c r="K260" s="12" t="n">
        <v>1</v>
      </c>
      <c r="L260" s="12" t="s">
        <v>66</v>
      </c>
      <c r="M260" s="12" t="s">
        <v>61</v>
      </c>
    </row>
    <row r="261" customFormat="false" ht="15" hidden="false" customHeight="true" outlineLevel="0" collapsed="false">
      <c r="A261" s="17" t="s">
        <v>356</v>
      </c>
      <c r="B261" s="18" t="s">
        <v>120</v>
      </c>
      <c r="C261" s="17" t="s">
        <v>58</v>
      </c>
      <c r="D261" s="18" t="s">
        <v>47</v>
      </c>
      <c r="E261" s="18" t="s">
        <v>104</v>
      </c>
      <c r="F261" s="17" t="n">
        <v>327</v>
      </c>
      <c r="G261" s="19" t="n">
        <v>2000</v>
      </c>
      <c r="H261" s="19" t="n">
        <v>654000</v>
      </c>
      <c r="I261" s="20" t="n">
        <v>2</v>
      </c>
      <c r="J261" s="21" t="n">
        <f aca="false">H261*(1-I261/100)</f>
        <v>640920</v>
      </c>
      <c r="K261" s="17" t="n">
        <v>11</v>
      </c>
      <c r="L261" s="17" t="s">
        <v>49</v>
      </c>
      <c r="M261" s="17" t="s">
        <v>50</v>
      </c>
    </row>
    <row r="262" customFormat="false" ht="15" hidden="false" customHeight="true" outlineLevel="0" collapsed="false">
      <c r="A262" s="12" t="s">
        <v>357</v>
      </c>
      <c r="B262" s="13" t="s">
        <v>71</v>
      </c>
      <c r="C262" s="12" t="s">
        <v>58</v>
      </c>
      <c r="D262" s="13" t="s">
        <v>47</v>
      </c>
      <c r="E262" s="13" t="s">
        <v>146</v>
      </c>
      <c r="F262" s="12" t="n">
        <v>107</v>
      </c>
      <c r="G262" s="14" t="n">
        <v>250</v>
      </c>
      <c r="H262" s="14" t="n">
        <v>26750</v>
      </c>
      <c r="I262" s="15" t="n">
        <v>8</v>
      </c>
      <c r="J262" s="16" t="n">
        <f aca="false">H262*(1-I262/100)</f>
        <v>24610</v>
      </c>
      <c r="K262" s="12" t="n">
        <v>6</v>
      </c>
      <c r="L262" s="12" t="s">
        <v>55</v>
      </c>
      <c r="M262" s="12" t="s">
        <v>61</v>
      </c>
    </row>
    <row r="263" customFormat="false" ht="15" hidden="false" customHeight="true" outlineLevel="0" collapsed="false">
      <c r="A263" s="17" t="s">
        <v>358</v>
      </c>
      <c r="B263" s="18" t="s">
        <v>89</v>
      </c>
      <c r="C263" s="17" t="s">
        <v>72</v>
      </c>
      <c r="D263" s="18" t="s">
        <v>47</v>
      </c>
      <c r="E263" s="18" t="s">
        <v>146</v>
      </c>
      <c r="F263" s="17" t="n">
        <v>220</v>
      </c>
      <c r="G263" s="19" t="n">
        <v>5000</v>
      </c>
      <c r="H263" s="19" t="n">
        <v>1100000</v>
      </c>
      <c r="I263" s="20" t="n">
        <v>15</v>
      </c>
      <c r="J263" s="21" t="n">
        <f aca="false">H263*(1-I263/100)</f>
        <v>935000</v>
      </c>
      <c r="K263" s="17" t="n">
        <v>10</v>
      </c>
      <c r="L263" s="17" t="s">
        <v>49</v>
      </c>
      <c r="M263" s="17" t="s">
        <v>61</v>
      </c>
    </row>
    <row r="264" customFormat="false" ht="15" hidden="false" customHeight="true" outlineLevel="0" collapsed="false">
      <c r="A264" s="12" t="s">
        <v>359</v>
      </c>
      <c r="B264" s="13" t="s">
        <v>71</v>
      </c>
      <c r="C264" s="12" t="s">
        <v>79</v>
      </c>
      <c r="D264" s="13" t="s">
        <v>53</v>
      </c>
      <c r="E264" s="13" t="s">
        <v>73</v>
      </c>
      <c r="F264" s="12" t="n">
        <v>297</v>
      </c>
      <c r="G264" s="14" t="n">
        <v>1500</v>
      </c>
      <c r="H264" s="14" t="n">
        <v>445500</v>
      </c>
      <c r="I264" s="15" t="n">
        <v>12</v>
      </c>
      <c r="J264" s="16" t="n">
        <f aca="false">H264*(1-I264/100)</f>
        <v>392040</v>
      </c>
      <c r="K264" s="12" t="n">
        <v>8</v>
      </c>
      <c r="L264" s="12" t="s">
        <v>74</v>
      </c>
      <c r="M264" s="12" t="s">
        <v>61</v>
      </c>
    </row>
    <row r="265" customFormat="false" ht="15" hidden="false" customHeight="true" outlineLevel="0" collapsed="false">
      <c r="A265" s="17" t="s">
        <v>360</v>
      </c>
      <c r="B265" s="18" t="s">
        <v>68</v>
      </c>
      <c r="C265" s="17" t="s">
        <v>79</v>
      </c>
      <c r="D265" s="18" t="s">
        <v>107</v>
      </c>
      <c r="E265" s="18" t="s">
        <v>117</v>
      </c>
      <c r="F265" s="17" t="n">
        <v>185</v>
      </c>
      <c r="G265" s="19" t="n">
        <v>5000</v>
      </c>
      <c r="H265" s="19" t="n">
        <v>925000</v>
      </c>
      <c r="I265" s="20" t="n">
        <v>5</v>
      </c>
      <c r="J265" s="21" t="n">
        <f aca="false">H265*(1-I265/100)</f>
        <v>878750</v>
      </c>
      <c r="K265" s="17" t="n">
        <v>11</v>
      </c>
      <c r="L265" s="17" t="s">
        <v>49</v>
      </c>
      <c r="M265" s="17" t="s">
        <v>61</v>
      </c>
    </row>
    <row r="266" customFormat="false" ht="15" hidden="false" customHeight="true" outlineLevel="0" collapsed="false">
      <c r="A266" s="12" t="s">
        <v>361</v>
      </c>
      <c r="B266" s="13" t="s">
        <v>100</v>
      </c>
      <c r="C266" s="12" t="s">
        <v>79</v>
      </c>
      <c r="D266" s="13" t="s">
        <v>64</v>
      </c>
      <c r="E266" s="13" t="s">
        <v>83</v>
      </c>
      <c r="F266" s="12" t="n">
        <v>295</v>
      </c>
      <c r="G266" s="14" t="n">
        <v>1000</v>
      </c>
      <c r="H266" s="14" t="n">
        <v>295000</v>
      </c>
      <c r="I266" s="15" t="n">
        <v>2</v>
      </c>
      <c r="J266" s="16" t="n">
        <f aca="false">H266*(1-I266/100)</f>
        <v>289100</v>
      </c>
      <c r="K266" s="12" t="n">
        <v>5</v>
      </c>
      <c r="L266" s="12" t="s">
        <v>55</v>
      </c>
      <c r="M266" s="12" t="s">
        <v>61</v>
      </c>
    </row>
    <row r="267" customFormat="false" ht="15" hidden="false" customHeight="true" outlineLevel="0" collapsed="false">
      <c r="A267" s="17" t="s">
        <v>362</v>
      </c>
      <c r="B267" s="18" t="s">
        <v>87</v>
      </c>
      <c r="C267" s="17" t="s">
        <v>72</v>
      </c>
      <c r="D267" s="18" t="s">
        <v>95</v>
      </c>
      <c r="E267" s="18" t="s">
        <v>96</v>
      </c>
      <c r="F267" s="17" t="n">
        <v>188</v>
      </c>
      <c r="G267" s="19" t="n">
        <v>5000</v>
      </c>
      <c r="H267" s="19" t="n">
        <v>940000</v>
      </c>
      <c r="I267" s="20" t="n">
        <v>15</v>
      </c>
      <c r="J267" s="21" t="n">
        <f aca="false">H267*(1-I267/100)</f>
        <v>799000</v>
      </c>
      <c r="K267" s="17" t="n">
        <v>12</v>
      </c>
      <c r="L267" s="17" t="s">
        <v>49</v>
      </c>
      <c r="M267" s="17" t="s">
        <v>61</v>
      </c>
    </row>
    <row r="268" customFormat="false" ht="15" hidden="false" customHeight="true" outlineLevel="0" collapsed="false">
      <c r="A268" s="12" t="s">
        <v>363</v>
      </c>
      <c r="B268" s="13" t="s">
        <v>141</v>
      </c>
      <c r="C268" s="12" t="s">
        <v>46</v>
      </c>
      <c r="D268" s="13" t="s">
        <v>53</v>
      </c>
      <c r="E268" s="13" t="s">
        <v>129</v>
      </c>
      <c r="F268" s="12" t="n">
        <v>288</v>
      </c>
      <c r="G268" s="14" t="n">
        <v>2000</v>
      </c>
      <c r="H268" s="14" t="n">
        <v>576000</v>
      </c>
      <c r="I268" s="15" t="n">
        <v>8</v>
      </c>
      <c r="J268" s="16" t="n">
        <f aca="false">H268*(1-I268/100)</f>
        <v>529920</v>
      </c>
      <c r="K268" s="12" t="n">
        <v>6</v>
      </c>
      <c r="L268" s="12" t="s">
        <v>55</v>
      </c>
      <c r="M268" s="12" t="s">
        <v>50</v>
      </c>
    </row>
    <row r="269" customFormat="false" ht="15" hidden="false" customHeight="true" outlineLevel="0" collapsed="false">
      <c r="A269" s="17" t="s">
        <v>364</v>
      </c>
      <c r="B269" s="18" t="s">
        <v>141</v>
      </c>
      <c r="C269" s="17" t="s">
        <v>46</v>
      </c>
      <c r="D269" s="18" t="s">
        <v>95</v>
      </c>
      <c r="E269" s="18" t="s">
        <v>139</v>
      </c>
      <c r="F269" s="17" t="n">
        <v>50</v>
      </c>
      <c r="G269" s="19" t="n">
        <v>1500</v>
      </c>
      <c r="H269" s="19" t="n">
        <v>75000</v>
      </c>
      <c r="I269" s="20" t="n">
        <v>8</v>
      </c>
      <c r="J269" s="21" t="n">
        <f aca="false">H269*(1-I269/100)</f>
        <v>69000</v>
      </c>
      <c r="K269" s="17" t="n">
        <v>11</v>
      </c>
      <c r="L269" s="17" t="s">
        <v>49</v>
      </c>
      <c r="M269" s="17" t="s">
        <v>61</v>
      </c>
    </row>
    <row r="270" customFormat="false" ht="15" hidden="false" customHeight="true" outlineLevel="0" collapsed="false">
      <c r="A270" s="12" t="s">
        <v>365</v>
      </c>
      <c r="B270" s="13" t="s">
        <v>100</v>
      </c>
      <c r="C270" s="12" t="s">
        <v>79</v>
      </c>
      <c r="D270" s="13" t="s">
        <v>64</v>
      </c>
      <c r="E270" s="13" t="s">
        <v>65</v>
      </c>
      <c r="F270" s="12" t="n">
        <v>148</v>
      </c>
      <c r="G270" s="14" t="n">
        <v>5000</v>
      </c>
      <c r="H270" s="14" t="n">
        <v>740000</v>
      </c>
      <c r="I270" s="15" t="n">
        <v>12</v>
      </c>
      <c r="J270" s="16" t="n">
        <f aca="false">H270*(1-I270/100)</f>
        <v>651200</v>
      </c>
      <c r="K270" s="12" t="n">
        <v>5</v>
      </c>
      <c r="L270" s="12" t="s">
        <v>55</v>
      </c>
      <c r="M270" s="12" t="s">
        <v>50</v>
      </c>
    </row>
    <row r="271" customFormat="false" ht="15" hidden="false" customHeight="true" outlineLevel="0" collapsed="false">
      <c r="A271" s="17" t="s">
        <v>366</v>
      </c>
      <c r="B271" s="18" t="s">
        <v>45</v>
      </c>
      <c r="C271" s="17" t="s">
        <v>58</v>
      </c>
      <c r="D271" s="18" t="s">
        <v>47</v>
      </c>
      <c r="E271" s="18" t="s">
        <v>104</v>
      </c>
      <c r="F271" s="17" t="n">
        <v>132</v>
      </c>
      <c r="G271" s="19" t="n">
        <v>750</v>
      </c>
      <c r="H271" s="19" t="n">
        <v>99000</v>
      </c>
      <c r="I271" s="20" t="n">
        <v>0</v>
      </c>
      <c r="J271" s="21" t="n">
        <f aca="false">H271*(1-I271/100)</f>
        <v>99000</v>
      </c>
      <c r="K271" s="17" t="n">
        <v>11</v>
      </c>
      <c r="L271" s="17" t="s">
        <v>49</v>
      </c>
      <c r="M271" s="17" t="s">
        <v>50</v>
      </c>
    </row>
    <row r="272" customFormat="false" ht="15" hidden="false" customHeight="true" outlineLevel="0" collapsed="false">
      <c r="A272" s="12" t="s">
        <v>367</v>
      </c>
      <c r="B272" s="13" t="s">
        <v>111</v>
      </c>
      <c r="C272" s="12" t="s">
        <v>46</v>
      </c>
      <c r="D272" s="13" t="s">
        <v>59</v>
      </c>
      <c r="E272" s="13" t="s">
        <v>69</v>
      </c>
      <c r="F272" s="12" t="n">
        <v>179</v>
      </c>
      <c r="G272" s="14" t="n">
        <v>3000</v>
      </c>
      <c r="H272" s="14" t="n">
        <v>537000</v>
      </c>
      <c r="I272" s="15" t="n">
        <v>0</v>
      </c>
      <c r="J272" s="16" t="n">
        <f aca="false">H272*(1-I272/100)</f>
        <v>537000</v>
      </c>
      <c r="K272" s="12" t="n">
        <v>11</v>
      </c>
      <c r="L272" s="12" t="s">
        <v>49</v>
      </c>
      <c r="M272" s="12" t="s">
        <v>50</v>
      </c>
    </row>
    <row r="273" customFormat="false" ht="15" hidden="false" customHeight="true" outlineLevel="0" collapsed="false">
      <c r="A273" s="17" t="s">
        <v>368</v>
      </c>
      <c r="B273" s="18" t="s">
        <v>128</v>
      </c>
      <c r="C273" s="17" t="s">
        <v>58</v>
      </c>
      <c r="D273" s="18" t="s">
        <v>64</v>
      </c>
      <c r="E273" s="18" t="s">
        <v>83</v>
      </c>
      <c r="F273" s="17" t="n">
        <v>344</v>
      </c>
      <c r="G273" s="19" t="n">
        <v>3000</v>
      </c>
      <c r="H273" s="19" t="n">
        <v>1032000</v>
      </c>
      <c r="I273" s="20" t="n">
        <v>8</v>
      </c>
      <c r="J273" s="21" t="n">
        <f aca="false">H273*(1-I273/100)</f>
        <v>949440</v>
      </c>
      <c r="K273" s="17" t="n">
        <v>11</v>
      </c>
      <c r="L273" s="17" t="s">
        <v>49</v>
      </c>
      <c r="M273" s="17" t="s">
        <v>50</v>
      </c>
    </row>
    <row r="274" customFormat="false" ht="15" hidden="false" customHeight="true" outlineLevel="0" collapsed="false">
      <c r="A274" s="12" t="s">
        <v>369</v>
      </c>
      <c r="B274" s="13" t="s">
        <v>141</v>
      </c>
      <c r="C274" s="12" t="s">
        <v>81</v>
      </c>
      <c r="D274" s="13" t="s">
        <v>95</v>
      </c>
      <c r="E274" s="13" t="s">
        <v>139</v>
      </c>
      <c r="F274" s="12" t="n">
        <v>40</v>
      </c>
      <c r="G274" s="14" t="n">
        <v>350</v>
      </c>
      <c r="H274" s="14" t="n">
        <v>14000</v>
      </c>
      <c r="I274" s="15" t="n">
        <v>12</v>
      </c>
      <c r="J274" s="16" t="n">
        <f aca="false">H274*(1-I274/100)</f>
        <v>12320</v>
      </c>
      <c r="K274" s="12" t="n">
        <v>10</v>
      </c>
      <c r="L274" s="12" t="s">
        <v>49</v>
      </c>
      <c r="M274" s="12" t="s">
        <v>50</v>
      </c>
    </row>
    <row r="275" customFormat="false" ht="15" hidden="false" customHeight="true" outlineLevel="0" collapsed="false">
      <c r="A275" s="17" t="s">
        <v>370</v>
      </c>
      <c r="B275" s="18" t="s">
        <v>52</v>
      </c>
      <c r="C275" s="17" t="s">
        <v>46</v>
      </c>
      <c r="D275" s="18" t="s">
        <v>64</v>
      </c>
      <c r="E275" s="18" t="s">
        <v>83</v>
      </c>
      <c r="F275" s="17" t="n">
        <v>461</v>
      </c>
      <c r="G275" s="19" t="n">
        <v>500</v>
      </c>
      <c r="H275" s="19" t="n">
        <v>230500</v>
      </c>
      <c r="I275" s="20" t="n">
        <v>0</v>
      </c>
      <c r="J275" s="21" t="n">
        <f aca="false">H275*(1-I275/100)</f>
        <v>230500</v>
      </c>
      <c r="K275" s="17" t="n">
        <v>7</v>
      </c>
      <c r="L275" s="17" t="s">
        <v>74</v>
      </c>
      <c r="M275" s="17" t="s">
        <v>61</v>
      </c>
    </row>
    <row r="276" customFormat="false" ht="15" hidden="false" customHeight="true" outlineLevel="0" collapsed="false">
      <c r="A276" s="12" t="s">
        <v>371</v>
      </c>
      <c r="B276" s="13" t="s">
        <v>120</v>
      </c>
      <c r="C276" s="12" t="s">
        <v>81</v>
      </c>
      <c r="D276" s="13" t="s">
        <v>59</v>
      </c>
      <c r="E276" s="13" t="s">
        <v>131</v>
      </c>
      <c r="F276" s="12" t="n">
        <v>162</v>
      </c>
      <c r="G276" s="14" t="n">
        <v>350</v>
      </c>
      <c r="H276" s="14" t="n">
        <v>56700</v>
      </c>
      <c r="I276" s="15" t="n">
        <v>5</v>
      </c>
      <c r="J276" s="16" t="n">
        <f aca="false">H276*(1-I276/100)</f>
        <v>53865</v>
      </c>
      <c r="K276" s="12" t="n">
        <v>5</v>
      </c>
      <c r="L276" s="12" t="s">
        <v>55</v>
      </c>
      <c r="M276" s="12" t="s">
        <v>61</v>
      </c>
    </row>
    <row r="277" customFormat="false" ht="15" hidden="false" customHeight="true" outlineLevel="0" collapsed="false">
      <c r="A277" s="17" t="s">
        <v>372</v>
      </c>
      <c r="B277" s="18" t="s">
        <v>52</v>
      </c>
      <c r="C277" s="17" t="s">
        <v>58</v>
      </c>
      <c r="D277" s="18" t="s">
        <v>107</v>
      </c>
      <c r="E277" s="18" t="s">
        <v>108</v>
      </c>
      <c r="F277" s="17" t="n">
        <v>445</v>
      </c>
      <c r="G277" s="19" t="n">
        <v>5000</v>
      </c>
      <c r="H277" s="19" t="n">
        <v>2225000</v>
      </c>
      <c r="I277" s="20" t="n">
        <v>8</v>
      </c>
      <c r="J277" s="21" t="n">
        <f aca="false">H277*(1-I277/100)</f>
        <v>2047000</v>
      </c>
      <c r="K277" s="17" t="n">
        <v>5</v>
      </c>
      <c r="L277" s="17" t="s">
        <v>55</v>
      </c>
      <c r="M277" s="17" t="s">
        <v>50</v>
      </c>
    </row>
    <row r="278" customFormat="false" ht="15" hidden="false" customHeight="true" outlineLevel="0" collapsed="false">
      <c r="A278" s="12" t="s">
        <v>373</v>
      </c>
      <c r="B278" s="13" t="s">
        <v>45</v>
      </c>
      <c r="C278" s="12" t="s">
        <v>81</v>
      </c>
      <c r="D278" s="13" t="s">
        <v>64</v>
      </c>
      <c r="E278" s="13" t="s">
        <v>65</v>
      </c>
      <c r="F278" s="12" t="n">
        <v>244</v>
      </c>
      <c r="G278" s="14" t="n">
        <v>1000</v>
      </c>
      <c r="H278" s="14" t="n">
        <v>244000</v>
      </c>
      <c r="I278" s="15" t="n">
        <v>12</v>
      </c>
      <c r="J278" s="16" t="n">
        <f aca="false">H278*(1-I278/100)</f>
        <v>214720</v>
      </c>
      <c r="K278" s="12" t="n">
        <v>3</v>
      </c>
      <c r="L278" s="12" t="s">
        <v>66</v>
      </c>
      <c r="M278" s="12" t="s">
        <v>50</v>
      </c>
    </row>
    <row r="279" customFormat="false" ht="15" hidden="false" customHeight="true" outlineLevel="0" collapsed="false">
      <c r="A279" s="17" t="s">
        <v>374</v>
      </c>
      <c r="B279" s="18" t="s">
        <v>68</v>
      </c>
      <c r="C279" s="17" t="s">
        <v>81</v>
      </c>
      <c r="D279" s="18" t="s">
        <v>53</v>
      </c>
      <c r="E279" s="18" t="s">
        <v>129</v>
      </c>
      <c r="F279" s="17" t="n">
        <v>397</v>
      </c>
      <c r="G279" s="19" t="n">
        <v>750</v>
      </c>
      <c r="H279" s="19" t="n">
        <v>297750</v>
      </c>
      <c r="I279" s="20" t="n">
        <v>2</v>
      </c>
      <c r="J279" s="21" t="n">
        <f aca="false">H279*(1-I279/100)</f>
        <v>291795</v>
      </c>
      <c r="K279" s="17" t="n">
        <v>10</v>
      </c>
      <c r="L279" s="17" t="s">
        <v>49</v>
      </c>
      <c r="M279" s="17" t="s">
        <v>61</v>
      </c>
    </row>
    <row r="280" customFormat="false" ht="15" hidden="false" customHeight="true" outlineLevel="0" collapsed="false">
      <c r="A280" s="12" t="s">
        <v>375</v>
      </c>
      <c r="B280" s="13" t="s">
        <v>144</v>
      </c>
      <c r="C280" s="12" t="s">
        <v>58</v>
      </c>
      <c r="D280" s="13" t="s">
        <v>95</v>
      </c>
      <c r="E280" s="13" t="s">
        <v>122</v>
      </c>
      <c r="F280" s="12" t="n">
        <v>215</v>
      </c>
      <c r="G280" s="14" t="n">
        <v>350</v>
      </c>
      <c r="H280" s="14" t="n">
        <v>75250</v>
      </c>
      <c r="I280" s="15" t="n">
        <v>2</v>
      </c>
      <c r="J280" s="16" t="n">
        <f aca="false">H280*(1-I280/100)</f>
        <v>73745</v>
      </c>
      <c r="K280" s="12" t="n">
        <v>3</v>
      </c>
      <c r="L280" s="12" t="s">
        <v>66</v>
      </c>
      <c r="M280" s="12" t="s">
        <v>61</v>
      </c>
    </row>
    <row r="281" customFormat="false" ht="15" hidden="false" customHeight="true" outlineLevel="0" collapsed="false">
      <c r="A281" s="17" t="s">
        <v>376</v>
      </c>
      <c r="B281" s="18" t="s">
        <v>68</v>
      </c>
      <c r="C281" s="17" t="s">
        <v>79</v>
      </c>
      <c r="D281" s="18" t="s">
        <v>59</v>
      </c>
      <c r="E281" s="18" t="s">
        <v>69</v>
      </c>
      <c r="F281" s="17" t="n">
        <v>206</v>
      </c>
      <c r="G281" s="19" t="n">
        <v>750</v>
      </c>
      <c r="H281" s="19" t="n">
        <v>154500</v>
      </c>
      <c r="I281" s="20" t="n">
        <v>8</v>
      </c>
      <c r="J281" s="21" t="n">
        <f aca="false">H281*(1-I281/100)</f>
        <v>142140</v>
      </c>
      <c r="K281" s="17" t="n">
        <v>5</v>
      </c>
      <c r="L281" s="17" t="s">
        <v>55</v>
      </c>
      <c r="M281" s="17" t="s">
        <v>61</v>
      </c>
    </row>
    <row r="282" customFormat="false" ht="15" hidden="false" customHeight="true" outlineLevel="0" collapsed="false">
      <c r="A282" s="12" t="s">
        <v>377</v>
      </c>
      <c r="B282" s="13" t="s">
        <v>141</v>
      </c>
      <c r="C282" s="12" t="s">
        <v>58</v>
      </c>
      <c r="D282" s="13" t="s">
        <v>47</v>
      </c>
      <c r="E282" s="13" t="s">
        <v>104</v>
      </c>
      <c r="F282" s="12" t="n">
        <v>15</v>
      </c>
      <c r="G282" s="14" t="n">
        <v>1000</v>
      </c>
      <c r="H282" s="14" t="n">
        <v>15000</v>
      </c>
      <c r="I282" s="15" t="n">
        <v>12</v>
      </c>
      <c r="J282" s="16" t="n">
        <f aca="false">H282*(1-I282/100)</f>
        <v>13200</v>
      </c>
      <c r="K282" s="12" t="n">
        <v>6</v>
      </c>
      <c r="L282" s="12" t="s">
        <v>55</v>
      </c>
      <c r="M282" s="12" t="s">
        <v>50</v>
      </c>
    </row>
    <row r="283" customFormat="false" ht="15" hidden="false" customHeight="true" outlineLevel="0" collapsed="false">
      <c r="A283" s="17" t="s">
        <v>378</v>
      </c>
      <c r="B283" s="18" t="s">
        <v>71</v>
      </c>
      <c r="C283" s="17" t="s">
        <v>46</v>
      </c>
      <c r="D283" s="18" t="s">
        <v>107</v>
      </c>
      <c r="E283" s="18" t="s">
        <v>135</v>
      </c>
      <c r="F283" s="17" t="n">
        <v>91</v>
      </c>
      <c r="G283" s="19" t="n">
        <v>2000</v>
      </c>
      <c r="H283" s="19" t="n">
        <v>182000</v>
      </c>
      <c r="I283" s="20" t="n">
        <v>12</v>
      </c>
      <c r="J283" s="21" t="n">
        <f aca="false">H283*(1-I283/100)</f>
        <v>160160</v>
      </c>
      <c r="K283" s="17" t="n">
        <v>9</v>
      </c>
      <c r="L283" s="17" t="s">
        <v>74</v>
      </c>
      <c r="M283" s="17" t="s">
        <v>61</v>
      </c>
    </row>
    <row r="284" customFormat="false" ht="15" hidden="false" customHeight="true" outlineLevel="0" collapsed="false">
      <c r="A284" s="12" t="s">
        <v>379</v>
      </c>
      <c r="B284" s="13" t="s">
        <v>45</v>
      </c>
      <c r="C284" s="12" t="s">
        <v>81</v>
      </c>
      <c r="D284" s="13" t="s">
        <v>95</v>
      </c>
      <c r="E284" s="13" t="s">
        <v>139</v>
      </c>
      <c r="F284" s="12" t="n">
        <v>123</v>
      </c>
      <c r="G284" s="14" t="n">
        <v>750</v>
      </c>
      <c r="H284" s="14" t="n">
        <v>92250</v>
      </c>
      <c r="I284" s="15" t="n">
        <v>2</v>
      </c>
      <c r="J284" s="16" t="n">
        <f aca="false">H284*(1-I284/100)</f>
        <v>90405</v>
      </c>
      <c r="K284" s="12" t="n">
        <v>8</v>
      </c>
      <c r="L284" s="12" t="s">
        <v>74</v>
      </c>
      <c r="M284" s="12" t="s">
        <v>50</v>
      </c>
    </row>
    <row r="285" customFormat="false" ht="15" hidden="false" customHeight="true" outlineLevel="0" collapsed="false">
      <c r="A285" s="17" t="s">
        <v>380</v>
      </c>
      <c r="B285" s="18" t="s">
        <v>106</v>
      </c>
      <c r="C285" s="17" t="s">
        <v>58</v>
      </c>
      <c r="D285" s="18" t="s">
        <v>95</v>
      </c>
      <c r="E285" s="18" t="s">
        <v>96</v>
      </c>
      <c r="F285" s="17" t="n">
        <v>369</v>
      </c>
      <c r="G285" s="19" t="n">
        <v>5000</v>
      </c>
      <c r="H285" s="19" t="n">
        <v>1845000</v>
      </c>
      <c r="I285" s="20" t="n">
        <v>8</v>
      </c>
      <c r="J285" s="21" t="n">
        <f aca="false">H285*(1-I285/100)</f>
        <v>1697400</v>
      </c>
      <c r="K285" s="17" t="n">
        <v>9</v>
      </c>
      <c r="L285" s="17" t="s">
        <v>74</v>
      </c>
      <c r="M285" s="17" t="s">
        <v>50</v>
      </c>
    </row>
    <row r="286" customFormat="false" ht="15" hidden="false" customHeight="true" outlineLevel="0" collapsed="false">
      <c r="A286" s="12" t="s">
        <v>381</v>
      </c>
      <c r="B286" s="13" t="s">
        <v>111</v>
      </c>
      <c r="C286" s="12" t="s">
        <v>58</v>
      </c>
      <c r="D286" s="13" t="s">
        <v>59</v>
      </c>
      <c r="E286" s="13" t="s">
        <v>60</v>
      </c>
      <c r="F286" s="12" t="n">
        <v>238</v>
      </c>
      <c r="G286" s="14" t="n">
        <v>5000</v>
      </c>
      <c r="H286" s="14" t="n">
        <v>1190000</v>
      </c>
      <c r="I286" s="15" t="n">
        <v>12</v>
      </c>
      <c r="J286" s="16" t="n">
        <f aca="false">H286*(1-I286/100)</f>
        <v>1047200</v>
      </c>
      <c r="K286" s="12" t="n">
        <v>6</v>
      </c>
      <c r="L286" s="12" t="s">
        <v>55</v>
      </c>
      <c r="M286" s="12" t="s">
        <v>50</v>
      </c>
    </row>
    <row r="287" customFormat="false" ht="15" hidden="false" customHeight="true" outlineLevel="0" collapsed="false">
      <c r="A287" s="17" t="s">
        <v>382</v>
      </c>
      <c r="B287" s="18" t="s">
        <v>45</v>
      </c>
      <c r="C287" s="17" t="s">
        <v>46</v>
      </c>
      <c r="D287" s="18" t="s">
        <v>53</v>
      </c>
      <c r="E287" s="18" t="s">
        <v>129</v>
      </c>
      <c r="F287" s="17" t="n">
        <v>113</v>
      </c>
      <c r="G287" s="19" t="n">
        <v>5000</v>
      </c>
      <c r="H287" s="19" t="n">
        <v>565000</v>
      </c>
      <c r="I287" s="20" t="n">
        <v>2</v>
      </c>
      <c r="J287" s="21" t="n">
        <f aca="false">H287*(1-I287/100)</f>
        <v>553700</v>
      </c>
      <c r="K287" s="17" t="n">
        <v>3</v>
      </c>
      <c r="L287" s="17" t="s">
        <v>66</v>
      </c>
      <c r="M287" s="17" t="s">
        <v>61</v>
      </c>
    </row>
    <row r="288" customFormat="false" ht="15" hidden="false" customHeight="true" outlineLevel="0" collapsed="false">
      <c r="A288" s="12" t="s">
        <v>383</v>
      </c>
      <c r="B288" s="13" t="s">
        <v>57</v>
      </c>
      <c r="C288" s="12" t="s">
        <v>72</v>
      </c>
      <c r="D288" s="13" t="s">
        <v>59</v>
      </c>
      <c r="E288" s="13" t="s">
        <v>60</v>
      </c>
      <c r="F288" s="12" t="n">
        <v>115</v>
      </c>
      <c r="G288" s="14" t="n">
        <v>3000</v>
      </c>
      <c r="H288" s="14" t="n">
        <v>345000</v>
      </c>
      <c r="I288" s="15" t="n">
        <v>0</v>
      </c>
      <c r="J288" s="16" t="n">
        <f aca="false">H288*(1-I288/100)</f>
        <v>345000</v>
      </c>
      <c r="K288" s="12" t="n">
        <v>9</v>
      </c>
      <c r="L288" s="12" t="s">
        <v>74</v>
      </c>
      <c r="M288" s="12" t="s">
        <v>61</v>
      </c>
    </row>
    <row r="289" customFormat="false" ht="15" hidden="false" customHeight="true" outlineLevel="0" collapsed="false">
      <c r="A289" s="17" t="s">
        <v>384</v>
      </c>
      <c r="B289" s="18" t="s">
        <v>71</v>
      </c>
      <c r="C289" s="17" t="s">
        <v>72</v>
      </c>
      <c r="D289" s="18" t="s">
        <v>64</v>
      </c>
      <c r="E289" s="18" t="s">
        <v>65</v>
      </c>
      <c r="F289" s="17" t="n">
        <v>222</v>
      </c>
      <c r="G289" s="19" t="n">
        <v>3000</v>
      </c>
      <c r="H289" s="19" t="n">
        <v>666000</v>
      </c>
      <c r="I289" s="20" t="n">
        <v>10</v>
      </c>
      <c r="J289" s="21" t="n">
        <f aca="false">H289*(1-I289/100)</f>
        <v>599400</v>
      </c>
      <c r="K289" s="17" t="n">
        <v>1</v>
      </c>
      <c r="L289" s="17" t="s">
        <v>66</v>
      </c>
      <c r="M289" s="17" t="s">
        <v>61</v>
      </c>
    </row>
    <row r="290" customFormat="false" ht="15" hidden="false" customHeight="true" outlineLevel="0" collapsed="false">
      <c r="A290" s="12" t="s">
        <v>385</v>
      </c>
      <c r="B290" s="13" t="s">
        <v>141</v>
      </c>
      <c r="C290" s="12" t="s">
        <v>46</v>
      </c>
      <c r="D290" s="13" t="s">
        <v>107</v>
      </c>
      <c r="E290" s="13" t="s">
        <v>135</v>
      </c>
      <c r="F290" s="12" t="n">
        <v>428</v>
      </c>
      <c r="G290" s="14" t="n">
        <v>250</v>
      </c>
      <c r="H290" s="14" t="n">
        <v>107000</v>
      </c>
      <c r="I290" s="15" t="n">
        <v>12</v>
      </c>
      <c r="J290" s="16" t="n">
        <f aca="false">H290*(1-I290/100)</f>
        <v>94160</v>
      </c>
      <c r="K290" s="12" t="n">
        <v>4</v>
      </c>
      <c r="L290" s="12" t="s">
        <v>55</v>
      </c>
      <c r="M290" s="12" t="s">
        <v>50</v>
      </c>
    </row>
    <row r="291" customFormat="false" ht="15" hidden="false" customHeight="true" outlineLevel="0" collapsed="false">
      <c r="A291" s="17" t="s">
        <v>386</v>
      </c>
      <c r="B291" s="18" t="s">
        <v>71</v>
      </c>
      <c r="C291" s="17" t="s">
        <v>72</v>
      </c>
      <c r="D291" s="18" t="s">
        <v>95</v>
      </c>
      <c r="E291" s="18" t="s">
        <v>139</v>
      </c>
      <c r="F291" s="17" t="n">
        <v>42</v>
      </c>
      <c r="G291" s="19" t="n">
        <v>5000</v>
      </c>
      <c r="H291" s="19" t="n">
        <v>210000</v>
      </c>
      <c r="I291" s="20" t="n">
        <v>0</v>
      </c>
      <c r="J291" s="21" t="n">
        <f aca="false">H291*(1-I291/100)</f>
        <v>210000</v>
      </c>
      <c r="K291" s="17" t="n">
        <v>2</v>
      </c>
      <c r="L291" s="17" t="s">
        <v>66</v>
      </c>
      <c r="M291" s="17" t="s">
        <v>61</v>
      </c>
    </row>
    <row r="292" customFormat="false" ht="15" hidden="false" customHeight="true" outlineLevel="0" collapsed="false">
      <c r="A292" s="12" t="s">
        <v>387</v>
      </c>
      <c r="B292" s="13" t="s">
        <v>71</v>
      </c>
      <c r="C292" s="12" t="s">
        <v>81</v>
      </c>
      <c r="D292" s="13" t="s">
        <v>107</v>
      </c>
      <c r="E292" s="13" t="s">
        <v>108</v>
      </c>
      <c r="F292" s="12" t="n">
        <v>403</v>
      </c>
      <c r="G292" s="14" t="n">
        <v>500</v>
      </c>
      <c r="H292" s="14" t="n">
        <v>201500</v>
      </c>
      <c r="I292" s="15" t="n">
        <v>15</v>
      </c>
      <c r="J292" s="16" t="n">
        <f aca="false">H292*(1-I292/100)</f>
        <v>171275</v>
      </c>
      <c r="K292" s="12" t="n">
        <v>11</v>
      </c>
      <c r="L292" s="12" t="s">
        <v>49</v>
      </c>
      <c r="M292" s="12" t="s">
        <v>61</v>
      </c>
    </row>
    <row r="293" customFormat="false" ht="15" hidden="false" customHeight="true" outlineLevel="0" collapsed="false">
      <c r="A293" s="17" t="s">
        <v>388</v>
      </c>
      <c r="B293" s="18" t="s">
        <v>76</v>
      </c>
      <c r="C293" s="17" t="s">
        <v>72</v>
      </c>
      <c r="D293" s="18" t="s">
        <v>107</v>
      </c>
      <c r="E293" s="18" t="s">
        <v>135</v>
      </c>
      <c r="F293" s="17" t="n">
        <v>202</v>
      </c>
      <c r="G293" s="19" t="n">
        <v>350</v>
      </c>
      <c r="H293" s="19" t="n">
        <v>70700</v>
      </c>
      <c r="I293" s="20" t="n">
        <v>12</v>
      </c>
      <c r="J293" s="21" t="n">
        <f aca="false">H293*(1-I293/100)</f>
        <v>62216</v>
      </c>
      <c r="K293" s="17" t="n">
        <v>11</v>
      </c>
      <c r="L293" s="17" t="s">
        <v>49</v>
      </c>
      <c r="M293" s="17" t="s">
        <v>50</v>
      </c>
    </row>
    <row r="294" customFormat="false" ht="15" hidden="false" customHeight="true" outlineLevel="0" collapsed="false">
      <c r="A294" s="12" t="s">
        <v>389</v>
      </c>
      <c r="B294" s="13" t="s">
        <v>76</v>
      </c>
      <c r="C294" s="12" t="s">
        <v>46</v>
      </c>
      <c r="D294" s="13" t="s">
        <v>64</v>
      </c>
      <c r="E294" s="13" t="s">
        <v>65</v>
      </c>
      <c r="F294" s="12" t="n">
        <v>211</v>
      </c>
      <c r="G294" s="14" t="n">
        <v>5000</v>
      </c>
      <c r="H294" s="14" t="n">
        <v>1055000</v>
      </c>
      <c r="I294" s="15" t="n">
        <v>2</v>
      </c>
      <c r="J294" s="16" t="n">
        <f aca="false">H294*(1-I294/100)</f>
        <v>1033900</v>
      </c>
      <c r="K294" s="12" t="n">
        <v>12</v>
      </c>
      <c r="L294" s="12" t="s">
        <v>49</v>
      </c>
      <c r="M294" s="12" t="s">
        <v>50</v>
      </c>
    </row>
    <row r="295" customFormat="false" ht="15" hidden="false" customHeight="true" outlineLevel="0" collapsed="false">
      <c r="A295" s="17" t="s">
        <v>390</v>
      </c>
      <c r="B295" s="18" t="s">
        <v>128</v>
      </c>
      <c r="C295" s="17" t="s">
        <v>46</v>
      </c>
      <c r="D295" s="18" t="s">
        <v>95</v>
      </c>
      <c r="E295" s="18" t="s">
        <v>96</v>
      </c>
      <c r="F295" s="17" t="n">
        <v>354</v>
      </c>
      <c r="G295" s="19" t="n">
        <v>5000</v>
      </c>
      <c r="H295" s="19" t="n">
        <v>1770000</v>
      </c>
      <c r="I295" s="20" t="n">
        <v>8</v>
      </c>
      <c r="J295" s="21" t="n">
        <f aca="false">H295*(1-I295/100)</f>
        <v>1628400</v>
      </c>
      <c r="K295" s="17" t="n">
        <v>9</v>
      </c>
      <c r="L295" s="17" t="s">
        <v>74</v>
      </c>
      <c r="M295" s="17" t="s">
        <v>61</v>
      </c>
    </row>
    <row r="296" customFormat="false" ht="15" hidden="false" customHeight="true" outlineLevel="0" collapsed="false">
      <c r="A296" s="12" t="s">
        <v>391</v>
      </c>
      <c r="B296" s="13" t="s">
        <v>111</v>
      </c>
      <c r="C296" s="12" t="s">
        <v>79</v>
      </c>
      <c r="D296" s="13" t="s">
        <v>107</v>
      </c>
      <c r="E296" s="13" t="s">
        <v>135</v>
      </c>
      <c r="F296" s="12" t="n">
        <v>89</v>
      </c>
      <c r="G296" s="14" t="n">
        <v>1000</v>
      </c>
      <c r="H296" s="14" t="n">
        <v>89000</v>
      </c>
      <c r="I296" s="15" t="n">
        <v>2</v>
      </c>
      <c r="J296" s="16" t="n">
        <f aca="false">H296*(1-I296/100)</f>
        <v>87220</v>
      </c>
      <c r="K296" s="12" t="n">
        <v>12</v>
      </c>
      <c r="L296" s="12" t="s">
        <v>49</v>
      </c>
      <c r="M296" s="12" t="s">
        <v>50</v>
      </c>
    </row>
    <row r="297" customFormat="false" ht="15" hidden="false" customHeight="true" outlineLevel="0" collapsed="false">
      <c r="A297" s="17" t="s">
        <v>392</v>
      </c>
      <c r="B297" s="18" t="s">
        <v>71</v>
      </c>
      <c r="C297" s="17" t="s">
        <v>72</v>
      </c>
      <c r="D297" s="18" t="s">
        <v>53</v>
      </c>
      <c r="E297" s="18" t="s">
        <v>73</v>
      </c>
      <c r="F297" s="17" t="n">
        <v>133</v>
      </c>
      <c r="G297" s="19" t="n">
        <v>750</v>
      </c>
      <c r="H297" s="19" t="n">
        <v>99750</v>
      </c>
      <c r="I297" s="20" t="n">
        <v>0</v>
      </c>
      <c r="J297" s="21" t="n">
        <f aca="false">H297*(1-I297/100)</f>
        <v>99750</v>
      </c>
      <c r="K297" s="17" t="n">
        <v>2</v>
      </c>
      <c r="L297" s="17" t="s">
        <v>66</v>
      </c>
      <c r="M297" s="17" t="s">
        <v>50</v>
      </c>
    </row>
    <row r="298" customFormat="false" ht="15" hidden="false" customHeight="true" outlineLevel="0" collapsed="false">
      <c r="A298" s="12" t="s">
        <v>393</v>
      </c>
      <c r="B298" s="13" t="s">
        <v>106</v>
      </c>
      <c r="C298" s="12" t="s">
        <v>58</v>
      </c>
      <c r="D298" s="13" t="s">
        <v>47</v>
      </c>
      <c r="E298" s="13" t="s">
        <v>104</v>
      </c>
      <c r="F298" s="12" t="n">
        <v>456</v>
      </c>
      <c r="G298" s="14" t="n">
        <v>250</v>
      </c>
      <c r="H298" s="14" t="n">
        <v>114000</v>
      </c>
      <c r="I298" s="15" t="n">
        <v>2</v>
      </c>
      <c r="J298" s="16" t="n">
        <f aca="false">H298*(1-I298/100)</f>
        <v>111720</v>
      </c>
      <c r="K298" s="12" t="n">
        <v>12</v>
      </c>
      <c r="L298" s="12" t="s">
        <v>49</v>
      </c>
      <c r="M298" s="12" t="s">
        <v>50</v>
      </c>
    </row>
    <row r="299" customFormat="false" ht="15" hidden="false" customHeight="true" outlineLevel="0" collapsed="false">
      <c r="A299" s="17" t="s">
        <v>394</v>
      </c>
      <c r="B299" s="18" t="s">
        <v>91</v>
      </c>
      <c r="C299" s="17" t="s">
        <v>72</v>
      </c>
      <c r="D299" s="18" t="s">
        <v>64</v>
      </c>
      <c r="E299" s="18" t="s">
        <v>65</v>
      </c>
      <c r="F299" s="17" t="n">
        <v>121</v>
      </c>
      <c r="G299" s="19" t="n">
        <v>250</v>
      </c>
      <c r="H299" s="19" t="n">
        <v>30250</v>
      </c>
      <c r="I299" s="20" t="n">
        <v>2</v>
      </c>
      <c r="J299" s="21" t="n">
        <f aca="false">H299*(1-I299/100)</f>
        <v>29645</v>
      </c>
      <c r="K299" s="17" t="n">
        <v>9</v>
      </c>
      <c r="L299" s="17" t="s">
        <v>74</v>
      </c>
      <c r="M299" s="17" t="s">
        <v>61</v>
      </c>
    </row>
    <row r="300" customFormat="false" ht="15" hidden="false" customHeight="true" outlineLevel="0" collapsed="false">
      <c r="A300" s="12" t="s">
        <v>395</v>
      </c>
      <c r="B300" s="13" t="s">
        <v>111</v>
      </c>
      <c r="C300" s="12" t="s">
        <v>58</v>
      </c>
      <c r="D300" s="13" t="s">
        <v>95</v>
      </c>
      <c r="E300" s="13" t="s">
        <v>139</v>
      </c>
      <c r="F300" s="12" t="n">
        <v>316</v>
      </c>
      <c r="G300" s="14" t="n">
        <v>1500</v>
      </c>
      <c r="H300" s="14" t="n">
        <v>474000</v>
      </c>
      <c r="I300" s="15" t="n">
        <v>2</v>
      </c>
      <c r="J300" s="16" t="n">
        <f aca="false">H300*(1-I300/100)</f>
        <v>464520</v>
      </c>
      <c r="K300" s="12" t="n">
        <v>5</v>
      </c>
      <c r="L300" s="12" t="s">
        <v>55</v>
      </c>
      <c r="M300" s="12" t="s">
        <v>50</v>
      </c>
    </row>
    <row r="301" customFormat="false" ht="15" hidden="false" customHeight="true" outlineLevel="0" collapsed="false">
      <c r="A301" s="17" t="s">
        <v>396</v>
      </c>
      <c r="B301" s="18" t="s">
        <v>57</v>
      </c>
      <c r="C301" s="17" t="s">
        <v>79</v>
      </c>
      <c r="D301" s="18" t="s">
        <v>107</v>
      </c>
      <c r="E301" s="18" t="s">
        <v>135</v>
      </c>
      <c r="F301" s="17" t="n">
        <v>150</v>
      </c>
      <c r="G301" s="19" t="n">
        <v>250</v>
      </c>
      <c r="H301" s="19" t="n">
        <v>37500</v>
      </c>
      <c r="I301" s="20" t="n">
        <v>10</v>
      </c>
      <c r="J301" s="21" t="n">
        <f aca="false">H301*(1-I301/100)</f>
        <v>33750</v>
      </c>
      <c r="K301" s="17" t="n">
        <v>10</v>
      </c>
      <c r="L301" s="17" t="s">
        <v>49</v>
      </c>
      <c r="M301" s="17" t="s">
        <v>50</v>
      </c>
    </row>
    <row r="302" customFormat="false" ht="15" hidden="false" customHeight="true" outlineLevel="0" collapsed="false">
      <c r="A302" s="12" t="s">
        <v>397</v>
      </c>
      <c r="B302" s="13" t="s">
        <v>144</v>
      </c>
      <c r="C302" s="12" t="s">
        <v>58</v>
      </c>
      <c r="D302" s="13" t="s">
        <v>107</v>
      </c>
      <c r="E302" s="13" t="s">
        <v>108</v>
      </c>
      <c r="F302" s="12" t="n">
        <v>186</v>
      </c>
      <c r="G302" s="14" t="n">
        <v>2000</v>
      </c>
      <c r="H302" s="14" t="n">
        <v>372000</v>
      </c>
      <c r="I302" s="15" t="n">
        <v>15</v>
      </c>
      <c r="J302" s="16" t="n">
        <f aca="false">H302*(1-I302/100)</f>
        <v>316200</v>
      </c>
      <c r="K302" s="12" t="n">
        <v>9</v>
      </c>
      <c r="L302" s="12" t="s">
        <v>74</v>
      </c>
      <c r="M302" s="12" t="s">
        <v>61</v>
      </c>
    </row>
    <row r="303" customFormat="false" ht="15" hidden="false" customHeight="true" outlineLevel="0" collapsed="false">
      <c r="A303" s="17" t="s">
        <v>398</v>
      </c>
      <c r="B303" s="18" t="s">
        <v>144</v>
      </c>
      <c r="C303" s="17" t="s">
        <v>72</v>
      </c>
      <c r="D303" s="18" t="s">
        <v>64</v>
      </c>
      <c r="E303" s="18" t="s">
        <v>83</v>
      </c>
      <c r="F303" s="17" t="n">
        <v>202</v>
      </c>
      <c r="G303" s="19" t="n">
        <v>500</v>
      </c>
      <c r="H303" s="19" t="n">
        <v>101000</v>
      </c>
      <c r="I303" s="20" t="n">
        <v>15</v>
      </c>
      <c r="J303" s="21" t="n">
        <f aca="false">H303*(1-I303/100)</f>
        <v>85850</v>
      </c>
      <c r="K303" s="17" t="n">
        <v>9</v>
      </c>
      <c r="L303" s="17" t="s">
        <v>74</v>
      </c>
      <c r="M303" s="17" t="s">
        <v>61</v>
      </c>
    </row>
    <row r="304" customFormat="false" ht="15" hidden="false" customHeight="true" outlineLevel="0" collapsed="false">
      <c r="A304" s="12" t="s">
        <v>399</v>
      </c>
      <c r="B304" s="13" t="s">
        <v>111</v>
      </c>
      <c r="C304" s="12" t="s">
        <v>79</v>
      </c>
      <c r="D304" s="13" t="s">
        <v>95</v>
      </c>
      <c r="E304" s="13" t="s">
        <v>139</v>
      </c>
      <c r="F304" s="12" t="n">
        <v>83</v>
      </c>
      <c r="G304" s="14" t="n">
        <v>3000</v>
      </c>
      <c r="H304" s="14" t="n">
        <v>249000</v>
      </c>
      <c r="I304" s="15" t="n">
        <v>0</v>
      </c>
      <c r="J304" s="16" t="n">
        <f aca="false">H304*(1-I304/100)</f>
        <v>249000</v>
      </c>
      <c r="K304" s="12" t="n">
        <v>9</v>
      </c>
      <c r="L304" s="12" t="s">
        <v>74</v>
      </c>
      <c r="M304" s="12" t="s">
        <v>61</v>
      </c>
    </row>
    <row r="305" customFormat="false" ht="15" hidden="false" customHeight="true" outlineLevel="0" collapsed="false">
      <c r="A305" s="17" t="s">
        <v>400</v>
      </c>
      <c r="B305" s="18" t="s">
        <v>144</v>
      </c>
      <c r="C305" s="17" t="s">
        <v>58</v>
      </c>
      <c r="D305" s="18" t="s">
        <v>53</v>
      </c>
      <c r="E305" s="18" t="s">
        <v>73</v>
      </c>
      <c r="F305" s="17" t="n">
        <v>208</v>
      </c>
      <c r="G305" s="19" t="n">
        <v>750</v>
      </c>
      <c r="H305" s="19" t="n">
        <v>156000</v>
      </c>
      <c r="I305" s="20" t="n">
        <v>5</v>
      </c>
      <c r="J305" s="21" t="n">
        <f aca="false">H305*(1-I305/100)</f>
        <v>148200</v>
      </c>
      <c r="K305" s="17" t="n">
        <v>4</v>
      </c>
      <c r="L305" s="17" t="s">
        <v>55</v>
      </c>
      <c r="M305" s="17" t="s">
        <v>61</v>
      </c>
    </row>
    <row r="306" customFormat="false" ht="15" hidden="false" customHeight="true" outlineLevel="0" collapsed="false">
      <c r="A306" s="12" t="s">
        <v>401</v>
      </c>
      <c r="B306" s="13" t="s">
        <v>78</v>
      </c>
      <c r="C306" s="12" t="s">
        <v>72</v>
      </c>
      <c r="D306" s="13" t="s">
        <v>95</v>
      </c>
      <c r="E306" s="13" t="s">
        <v>122</v>
      </c>
      <c r="F306" s="12" t="n">
        <v>284</v>
      </c>
      <c r="G306" s="14" t="n">
        <v>750</v>
      </c>
      <c r="H306" s="14" t="n">
        <v>213000</v>
      </c>
      <c r="I306" s="15" t="n">
        <v>0</v>
      </c>
      <c r="J306" s="16" t="n">
        <f aca="false">H306*(1-I306/100)</f>
        <v>213000</v>
      </c>
      <c r="K306" s="12" t="n">
        <v>5</v>
      </c>
      <c r="L306" s="12" t="s">
        <v>55</v>
      </c>
      <c r="M306" s="12" t="s">
        <v>61</v>
      </c>
    </row>
    <row r="307" customFormat="false" ht="15" hidden="false" customHeight="true" outlineLevel="0" collapsed="false">
      <c r="A307" s="17" t="s">
        <v>402</v>
      </c>
      <c r="B307" s="18" t="s">
        <v>71</v>
      </c>
      <c r="C307" s="17" t="s">
        <v>46</v>
      </c>
      <c r="D307" s="18" t="s">
        <v>64</v>
      </c>
      <c r="E307" s="18" t="s">
        <v>65</v>
      </c>
      <c r="F307" s="17" t="n">
        <v>380</v>
      </c>
      <c r="G307" s="19" t="n">
        <v>5000</v>
      </c>
      <c r="H307" s="19" t="n">
        <v>1900000</v>
      </c>
      <c r="I307" s="20" t="n">
        <v>2</v>
      </c>
      <c r="J307" s="21" t="n">
        <f aca="false">H307*(1-I307/100)</f>
        <v>1862000</v>
      </c>
      <c r="K307" s="17" t="n">
        <v>8</v>
      </c>
      <c r="L307" s="17" t="s">
        <v>74</v>
      </c>
      <c r="M307" s="17" t="s">
        <v>50</v>
      </c>
    </row>
    <row r="308" customFormat="false" ht="15" hidden="false" customHeight="true" outlineLevel="0" collapsed="false">
      <c r="A308" s="12" t="s">
        <v>403</v>
      </c>
      <c r="B308" s="13" t="s">
        <v>68</v>
      </c>
      <c r="C308" s="12" t="s">
        <v>81</v>
      </c>
      <c r="D308" s="13" t="s">
        <v>59</v>
      </c>
      <c r="E308" s="13" t="s">
        <v>131</v>
      </c>
      <c r="F308" s="12" t="n">
        <v>489</v>
      </c>
      <c r="G308" s="14" t="n">
        <v>750</v>
      </c>
      <c r="H308" s="14" t="n">
        <v>366750</v>
      </c>
      <c r="I308" s="15" t="n">
        <v>12</v>
      </c>
      <c r="J308" s="16" t="n">
        <f aca="false">H308*(1-I308/100)</f>
        <v>322740</v>
      </c>
      <c r="K308" s="12" t="n">
        <v>2</v>
      </c>
      <c r="L308" s="12" t="s">
        <v>66</v>
      </c>
      <c r="M308" s="12" t="s">
        <v>61</v>
      </c>
    </row>
    <row r="309" customFormat="false" ht="15" hidden="false" customHeight="true" outlineLevel="0" collapsed="false">
      <c r="A309" s="17" t="s">
        <v>404</v>
      </c>
      <c r="B309" s="18" t="s">
        <v>111</v>
      </c>
      <c r="C309" s="17" t="s">
        <v>58</v>
      </c>
      <c r="D309" s="18" t="s">
        <v>47</v>
      </c>
      <c r="E309" s="18" t="s">
        <v>146</v>
      </c>
      <c r="F309" s="17" t="n">
        <v>213</v>
      </c>
      <c r="G309" s="19" t="n">
        <v>750</v>
      </c>
      <c r="H309" s="19" t="n">
        <v>159750</v>
      </c>
      <c r="I309" s="20" t="n">
        <v>10</v>
      </c>
      <c r="J309" s="21" t="n">
        <f aca="false">H309*(1-I309/100)</f>
        <v>143775</v>
      </c>
      <c r="K309" s="17" t="n">
        <v>6</v>
      </c>
      <c r="L309" s="17" t="s">
        <v>55</v>
      </c>
      <c r="M309" s="17" t="s">
        <v>61</v>
      </c>
    </row>
    <row r="310" customFormat="false" ht="15" hidden="false" customHeight="true" outlineLevel="0" collapsed="false">
      <c r="A310" s="12" t="s">
        <v>405</v>
      </c>
      <c r="B310" s="13" t="s">
        <v>91</v>
      </c>
      <c r="C310" s="12" t="s">
        <v>72</v>
      </c>
      <c r="D310" s="13" t="s">
        <v>53</v>
      </c>
      <c r="E310" s="13" t="s">
        <v>129</v>
      </c>
      <c r="F310" s="12" t="n">
        <v>193</v>
      </c>
      <c r="G310" s="14" t="n">
        <v>1000</v>
      </c>
      <c r="H310" s="14" t="n">
        <v>193000</v>
      </c>
      <c r="I310" s="15" t="n">
        <v>5</v>
      </c>
      <c r="J310" s="16" t="n">
        <f aca="false">H310*(1-I310/100)</f>
        <v>183350</v>
      </c>
      <c r="K310" s="12" t="n">
        <v>6</v>
      </c>
      <c r="L310" s="12" t="s">
        <v>55</v>
      </c>
      <c r="M310" s="12" t="s">
        <v>61</v>
      </c>
    </row>
    <row r="311" customFormat="false" ht="15" hidden="false" customHeight="true" outlineLevel="0" collapsed="false">
      <c r="A311" s="17" t="s">
        <v>406</v>
      </c>
      <c r="B311" s="18" t="s">
        <v>106</v>
      </c>
      <c r="C311" s="17" t="s">
        <v>46</v>
      </c>
      <c r="D311" s="18" t="s">
        <v>47</v>
      </c>
      <c r="E311" s="18" t="s">
        <v>48</v>
      </c>
      <c r="F311" s="17" t="n">
        <v>399</v>
      </c>
      <c r="G311" s="19" t="n">
        <v>1500</v>
      </c>
      <c r="H311" s="19" t="n">
        <v>598500</v>
      </c>
      <c r="I311" s="20" t="n">
        <v>2</v>
      </c>
      <c r="J311" s="21" t="n">
        <f aca="false">H311*(1-I311/100)</f>
        <v>586530</v>
      </c>
      <c r="K311" s="17" t="n">
        <v>6</v>
      </c>
      <c r="L311" s="17" t="s">
        <v>55</v>
      </c>
      <c r="M311" s="17" t="s">
        <v>61</v>
      </c>
    </row>
    <row r="312" customFormat="false" ht="15" hidden="false" customHeight="true" outlineLevel="0" collapsed="false">
      <c r="A312" s="12" t="s">
        <v>407</v>
      </c>
      <c r="B312" s="13" t="s">
        <v>144</v>
      </c>
      <c r="C312" s="12" t="s">
        <v>46</v>
      </c>
      <c r="D312" s="13" t="s">
        <v>53</v>
      </c>
      <c r="E312" s="13" t="s">
        <v>73</v>
      </c>
      <c r="F312" s="12" t="n">
        <v>389</v>
      </c>
      <c r="G312" s="14" t="n">
        <v>500</v>
      </c>
      <c r="H312" s="14" t="n">
        <v>194500</v>
      </c>
      <c r="I312" s="15" t="n">
        <v>0</v>
      </c>
      <c r="J312" s="16" t="n">
        <f aca="false">H312*(1-I312/100)</f>
        <v>194500</v>
      </c>
      <c r="K312" s="12" t="n">
        <v>5</v>
      </c>
      <c r="L312" s="12" t="s">
        <v>55</v>
      </c>
      <c r="M312" s="12" t="s">
        <v>61</v>
      </c>
    </row>
    <row r="313" customFormat="false" ht="15" hidden="false" customHeight="true" outlineLevel="0" collapsed="false">
      <c r="A313" s="17" t="s">
        <v>408</v>
      </c>
      <c r="B313" s="18" t="s">
        <v>141</v>
      </c>
      <c r="C313" s="17" t="s">
        <v>79</v>
      </c>
      <c r="D313" s="18" t="s">
        <v>64</v>
      </c>
      <c r="E313" s="18" t="s">
        <v>83</v>
      </c>
      <c r="F313" s="17" t="n">
        <v>127</v>
      </c>
      <c r="G313" s="19" t="n">
        <v>2000</v>
      </c>
      <c r="H313" s="19" t="n">
        <v>254000</v>
      </c>
      <c r="I313" s="20" t="n">
        <v>10</v>
      </c>
      <c r="J313" s="21" t="n">
        <f aca="false">H313*(1-I313/100)</f>
        <v>228600</v>
      </c>
      <c r="K313" s="17" t="n">
        <v>4</v>
      </c>
      <c r="L313" s="17" t="s">
        <v>55</v>
      </c>
      <c r="M313" s="17" t="s">
        <v>61</v>
      </c>
    </row>
    <row r="314" customFormat="false" ht="15" hidden="false" customHeight="true" outlineLevel="0" collapsed="false">
      <c r="A314" s="12" t="s">
        <v>409</v>
      </c>
      <c r="B314" s="13" t="s">
        <v>52</v>
      </c>
      <c r="C314" s="12" t="s">
        <v>81</v>
      </c>
      <c r="D314" s="13" t="s">
        <v>95</v>
      </c>
      <c r="E314" s="13" t="s">
        <v>96</v>
      </c>
      <c r="F314" s="12" t="n">
        <v>380</v>
      </c>
      <c r="G314" s="14" t="n">
        <v>3000</v>
      </c>
      <c r="H314" s="14" t="n">
        <v>1140000</v>
      </c>
      <c r="I314" s="15" t="n">
        <v>8</v>
      </c>
      <c r="J314" s="16" t="n">
        <f aca="false">H314*(1-I314/100)</f>
        <v>1048800</v>
      </c>
      <c r="K314" s="12" t="n">
        <v>3</v>
      </c>
      <c r="L314" s="12" t="s">
        <v>66</v>
      </c>
      <c r="M314" s="12" t="s">
        <v>61</v>
      </c>
    </row>
    <row r="315" customFormat="false" ht="15" hidden="false" customHeight="true" outlineLevel="0" collapsed="false">
      <c r="A315" s="17" t="s">
        <v>410</v>
      </c>
      <c r="B315" s="18" t="s">
        <v>120</v>
      </c>
      <c r="C315" s="17" t="s">
        <v>79</v>
      </c>
      <c r="D315" s="18" t="s">
        <v>47</v>
      </c>
      <c r="E315" s="18" t="s">
        <v>104</v>
      </c>
      <c r="F315" s="17" t="n">
        <v>260</v>
      </c>
      <c r="G315" s="19" t="n">
        <v>500</v>
      </c>
      <c r="H315" s="19" t="n">
        <v>130000</v>
      </c>
      <c r="I315" s="20" t="n">
        <v>10</v>
      </c>
      <c r="J315" s="21" t="n">
        <f aca="false">H315*(1-I315/100)</f>
        <v>117000</v>
      </c>
      <c r="K315" s="17" t="n">
        <v>11</v>
      </c>
      <c r="L315" s="17" t="s">
        <v>49</v>
      </c>
      <c r="M315" s="17" t="s">
        <v>50</v>
      </c>
    </row>
    <row r="316" customFormat="false" ht="15" hidden="false" customHeight="true" outlineLevel="0" collapsed="false">
      <c r="A316" s="12" t="s">
        <v>411</v>
      </c>
      <c r="B316" s="13" t="s">
        <v>57</v>
      </c>
      <c r="C316" s="12" t="s">
        <v>46</v>
      </c>
      <c r="D316" s="13" t="s">
        <v>59</v>
      </c>
      <c r="E316" s="13" t="s">
        <v>60</v>
      </c>
      <c r="F316" s="12" t="n">
        <v>34</v>
      </c>
      <c r="G316" s="14" t="n">
        <v>250</v>
      </c>
      <c r="H316" s="14" t="n">
        <v>8500</v>
      </c>
      <c r="I316" s="15" t="n">
        <v>8</v>
      </c>
      <c r="J316" s="16" t="n">
        <f aca="false">H316*(1-I316/100)</f>
        <v>7820</v>
      </c>
      <c r="K316" s="12" t="n">
        <v>3</v>
      </c>
      <c r="L316" s="12" t="s">
        <v>66</v>
      </c>
      <c r="M316" s="12" t="s">
        <v>50</v>
      </c>
    </row>
    <row r="317" customFormat="false" ht="15" hidden="false" customHeight="true" outlineLevel="0" collapsed="false">
      <c r="A317" s="17" t="s">
        <v>412</v>
      </c>
      <c r="B317" s="18" t="s">
        <v>78</v>
      </c>
      <c r="C317" s="17" t="s">
        <v>79</v>
      </c>
      <c r="D317" s="18" t="s">
        <v>59</v>
      </c>
      <c r="E317" s="18" t="s">
        <v>131</v>
      </c>
      <c r="F317" s="17" t="n">
        <v>268</v>
      </c>
      <c r="G317" s="19" t="n">
        <v>3000</v>
      </c>
      <c r="H317" s="19" t="n">
        <v>804000</v>
      </c>
      <c r="I317" s="20" t="n">
        <v>5</v>
      </c>
      <c r="J317" s="21" t="n">
        <f aca="false">H317*(1-I317/100)</f>
        <v>763800</v>
      </c>
      <c r="K317" s="17" t="n">
        <v>1</v>
      </c>
      <c r="L317" s="17" t="s">
        <v>66</v>
      </c>
      <c r="M317" s="17" t="s">
        <v>61</v>
      </c>
    </row>
    <row r="318" customFormat="false" ht="15" hidden="false" customHeight="true" outlineLevel="0" collapsed="false">
      <c r="A318" s="12" t="s">
        <v>413</v>
      </c>
      <c r="B318" s="13" t="s">
        <v>100</v>
      </c>
      <c r="C318" s="12" t="s">
        <v>46</v>
      </c>
      <c r="D318" s="13" t="s">
        <v>59</v>
      </c>
      <c r="E318" s="13" t="s">
        <v>60</v>
      </c>
      <c r="F318" s="12" t="n">
        <v>292</v>
      </c>
      <c r="G318" s="14" t="n">
        <v>2000</v>
      </c>
      <c r="H318" s="14" t="n">
        <v>584000</v>
      </c>
      <c r="I318" s="15" t="n">
        <v>0</v>
      </c>
      <c r="J318" s="16" t="n">
        <f aca="false">H318*(1-I318/100)</f>
        <v>584000</v>
      </c>
      <c r="K318" s="12" t="n">
        <v>1</v>
      </c>
      <c r="L318" s="12" t="s">
        <v>66</v>
      </c>
      <c r="M318" s="12" t="s">
        <v>61</v>
      </c>
    </row>
    <row r="319" customFormat="false" ht="15" hidden="false" customHeight="true" outlineLevel="0" collapsed="false">
      <c r="A319" s="17" t="s">
        <v>414</v>
      </c>
      <c r="B319" s="18" t="s">
        <v>52</v>
      </c>
      <c r="C319" s="17" t="s">
        <v>81</v>
      </c>
      <c r="D319" s="18" t="s">
        <v>59</v>
      </c>
      <c r="E319" s="18" t="s">
        <v>60</v>
      </c>
      <c r="F319" s="17" t="n">
        <v>426</v>
      </c>
      <c r="G319" s="19" t="n">
        <v>2000</v>
      </c>
      <c r="H319" s="19" t="n">
        <v>852000</v>
      </c>
      <c r="I319" s="20" t="n">
        <v>15</v>
      </c>
      <c r="J319" s="21" t="n">
        <f aca="false">H319*(1-I319/100)</f>
        <v>724200</v>
      </c>
      <c r="K319" s="17" t="n">
        <v>3</v>
      </c>
      <c r="L319" s="17" t="s">
        <v>66</v>
      </c>
      <c r="M319" s="17" t="s">
        <v>50</v>
      </c>
    </row>
    <row r="320" customFormat="false" ht="15" hidden="false" customHeight="true" outlineLevel="0" collapsed="false">
      <c r="A320" s="12" t="s">
        <v>415</v>
      </c>
      <c r="B320" s="13" t="s">
        <v>45</v>
      </c>
      <c r="C320" s="12" t="s">
        <v>58</v>
      </c>
      <c r="D320" s="13" t="s">
        <v>64</v>
      </c>
      <c r="E320" s="13" t="s">
        <v>85</v>
      </c>
      <c r="F320" s="12" t="n">
        <v>108</v>
      </c>
      <c r="G320" s="14" t="n">
        <v>5000</v>
      </c>
      <c r="H320" s="14" t="n">
        <v>540000</v>
      </c>
      <c r="I320" s="15" t="n">
        <v>5</v>
      </c>
      <c r="J320" s="16" t="n">
        <f aca="false">H320*(1-I320/100)</f>
        <v>513000</v>
      </c>
      <c r="K320" s="12" t="n">
        <v>6</v>
      </c>
      <c r="L320" s="12" t="s">
        <v>55</v>
      </c>
      <c r="M320" s="12" t="s">
        <v>61</v>
      </c>
    </row>
    <row r="321" customFormat="false" ht="15" hidden="false" customHeight="true" outlineLevel="0" collapsed="false">
      <c r="A321" s="17" t="s">
        <v>416</v>
      </c>
      <c r="B321" s="18" t="s">
        <v>91</v>
      </c>
      <c r="C321" s="17" t="s">
        <v>46</v>
      </c>
      <c r="D321" s="18" t="s">
        <v>95</v>
      </c>
      <c r="E321" s="18" t="s">
        <v>96</v>
      </c>
      <c r="F321" s="17" t="n">
        <v>245</v>
      </c>
      <c r="G321" s="19" t="n">
        <v>750</v>
      </c>
      <c r="H321" s="19" t="n">
        <v>183750</v>
      </c>
      <c r="I321" s="20" t="n">
        <v>12</v>
      </c>
      <c r="J321" s="21" t="n">
        <f aca="false">H321*(1-I321/100)</f>
        <v>161700</v>
      </c>
      <c r="K321" s="17" t="n">
        <v>4</v>
      </c>
      <c r="L321" s="17" t="s">
        <v>55</v>
      </c>
      <c r="M321" s="17" t="s">
        <v>61</v>
      </c>
    </row>
    <row r="322" customFormat="false" ht="15" hidden="false" customHeight="true" outlineLevel="0" collapsed="false">
      <c r="A322" s="12" t="s">
        <v>417</v>
      </c>
      <c r="B322" s="13" t="s">
        <v>78</v>
      </c>
      <c r="C322" s="12" t="s">
        <v>46</v>
      </c>
      <c r="D322" s="13" t="s">
        <v>59</v>
      </c>
      <c r="E322" s="13" t="s">
        <v>69</v>
      </c>
      <c r="F322" s="12" t="n">
        <v>204</v>
      </c>
      <c r="G322" s="14" t="n">
        <v>2000</v>
      </c>
      <c r="H322" s="14" t="n">
        <v>408000</v>
      </c>
      <c r="I322" s="15" t="n">
        <v>10</v>
      </c>
      <c r="J322" s="16" t="n">
        <f aca="false">H322*(1-I322/100)</f>
        <v>367200</v>
      </c>
      <c r="K322" s="12" t="n">
        <v>8</v>
      </c>
      <c r="L322" s="12" t="s">
        <v>74</v>
      </c>
      <c r="M322" s="12" t="s">
        <v>50</v>
      </c>
    </row>
    <row r="323" customFormat="false" ht="15" hidden="false" customHeight="true" outlineLevel="0" collapsed="false">
      <c r="A323" s="17" t="s">
        <v>418</v>
      </c>
      <c r="B323" s="18" t="s">
        <v>128</v>
      </c>
      <c r="C323" s="17" t="s">
        <v>79</v>
      </c>
      <c r="D323" s="18" t="s">
        <v>59</v>
      </c>
      <c r="E323" s="18" t="s">
        <v>69</v>
      </c>
      <c r="F323" s="17" t="n">
        <v>442</v>
      </c>
      <c r="G323" s="19" t="n">
        <v>2000</v>
      </c>
      <c r="H323" s="19" t="n">
        <v>884000</v>
      </c>
      <c r="I323" s="20" t="n">
        <v>12</v>
      </c>
      <c r="J323" s="21" t="n">
        <f aca="false">H323*(1-I323/100)</f>
        <v>777920</v>
      </c>
      <c r="K323" s="17" t="n">
        <v>6</v>
      </c>
      <c r="L323" s="17" t="s">
        <v>55</v>
      </c>
      <c r="M323" s="17" t="s">
        <v>50</v>
      </c>
    </row>
    <row r="324" customFormat="false" ht="15" hidden="false" customHeight="true" outlineLevel="0" collapsed="false">
      <c r="A324" s="12" t="s">
        <v>419</v>
      </c>
      <c r="B324" s="13" t="s">
        <v>57</v>
      </c>
      <c r="C324" s="12" t="s">
        <v>46</v>
      </c>
      <c r="D324" s="13" t="s">
        <v>64</v>
      </c>
      <c r="E324" s="13" t="s">
        <v>85</v>
      </c>
      <c r="F324" s="12" t="n">
        <v>471</v>
      </c>
      <c r="G324" s="14" t="n">
        <v>3000</v>
      </c>
      <c r="H324" s="14" t="n">
        <v>1413000</v>
      </c>
      <c r="I324" s="15" t="n">
        <v>5</v>
      </c>
      <c r="J324" s="16" t="n">
        <f aca="false">H324*(1-I324/100)</f>
        <v>1342350</v>
      </c>
      <c r="K324" s="12" t="n">
        <v>1</v>
      </c>
      <c r="L324" s="12" t="s">
        <v>66</v>
      </c>
      <c r="M324" s="12" t="s">
        <v>50</v>
      </c>
    </row>
    <row r="325" customFormat="false" ht="15" hidden="false" customHeight="true" outlineLevel="0" collapsed="false">
      <c r="A325" s="17" t="s">
        <v>420</v>
      </c>
      <c r="B325" s="18" t="s">
        <v>63</v>
      </c>
      <c r="C325" s="17" t="s">
        <v>58</v>
      </c>
      <c r="D325" s="18" t="s">
        <v>53</v>
      </c>
      <c r="E325" s="18" t="s">
        <v>129</v>
      </c>
      <c r="F325" s="17" t="n">
        <v>26</v>
      </c>
      <c r="G325" s="19" t="n">
        <v>500</v>
      </c>
      <c r="H325" s="19" t="n">
        <v>13000</v>
      </c>
      <c r="I325" s="20" t="n">
        <v>15</v>
      </c>
      <c r="J325" s="21" t="n">
        <f aca="false">H325*(1-I325/100)</f>
        <v>11050</v>
      </c>
      <c r="K325" s="17" t="n">
        <v>6</v>
      </c>
      <c r="L325" s="17" t="s">
        <v>55</v>
      </c>
      <c r="M325" s="17" t="s">
        <v>50</v>
      </c>
    </row>
    <row r="326" customFormat="false" ht="15" hidden="false" customHeight="true" outlineLevel="0" collapsed="false">
      <c r="A326" s="12" t="s">
        <v>421</v>
      </c>
      <c r="B326" s="13" t="s">
        <v>87</v>
      </c>
      <c r="C326" s="12" t="s">
        <v>58</v>
      </c>
      <c r="D326" s="13" t="s">
        <v>64</v>
      </c>
      <c r="E326" s="13" t="s">
        <v>65</v>
      </c>
      <c r="F326" s="12" t="n">
        <v>430</v>
      </c>
      <c r="G326" s="14" t="n">
        <v>2000</v>
      </c>
      <c r="H326" s="14" t="n">
        <v>860000</v>
      </c>
      <c r="I326" s="15" t="n">
        <v>0</v>
      </c>
      <c r="J326" s="16" t="n">
        <f aca="false">H326*(1-I326/100)</f>
        <v>860000</v>
      </c>
      <c r="K326" s="12" t="n">
        <v>5</v>
      </c>
      <c r="L326" s="12" t="s">
        <v>55</v>
      </c>
      <c r="M326" s="12" t="s">
        <v>50</v>
      </c>
    </row>
    <row r="327" customFormat="false" ht="15" hidden="false" customHeight="true" outlineLevel="0" collapsed="false">
      <c r="A327" s="17" t="s">
        <v>422</v>
      </c>
      <c r="B327" s="18" t="s">
        <v>111</v>
      </c>
      <c r="C327" s="17" t="s">
        <v>58</v>
      </c>
      <c r="D327" s="18" t="s">
        <v>107</v>
      </c>
      <c r="E327" s="18" t="s">
        <v>117</v>
      </c>
      <c r="F327" s="17" t="n">
        <v>469</v>
      </c>
      <c r="G327" s="19" t="n">
        <v>5000</v>
      </c>
      <c r="H327" s="19" t="n">
        <v>2345000</v>
      </c>
      <c r="I327" s="20" t="n">
        <v>5</v>
      </c>
      <c r="J327" s="21" t="n">
        <f aca="false">H327*(1-I327/100)</f>
        <v>2227750</v>
      </c>
      <c r="K327" s="17" t="n">
        <v>7</v>
      </c>
      <c r="L327" s="17" t="s">
        <v>74</v>
      </c>
      <c r="M327" s="17" t="s">
        <v>50</v>
      </c>
    </row>
    <row r="328" customFormat="false" ht="15" hidden="false" customHeight="true" outlineLevel="0" collapsed="false">
      <c r="A328" s="12" t="s">
        <v>423</v>
      </c>
      <c r="B328" s="13" t="s">
        <v>78</v>
      </c>
      <c r="C328" s="12" t="s">
        <v>58</v>
      </c>
      <c r="D328" s="13" t="s">
        <v>47</v>
      </c>
      <c r="E328" s="13" t="s">
        <v>48</v>
      </c>
      <c r="F328" s="12" t="n">
        <v>37</v>
      </c>
      <c r="G328" s="14" t="n">
        <v>350</v>
      </c>
      <c r="H328" s="14" t="n">
        <v>12950</v>
      </c>
      <c r="I328" s="15" t="n">
        <v>8</v>
      </c>
      <c r="J328" s="16" t="n">
        <f aca="false">H328*(1-I328/100)</f>
        <v>11914</v>
      </c>
      <c r="K328" s="12" t="n">
        <v>4</v>
      </c>
      <c r="L328" s="12" t="s">
        <v>55</v>
      </c>
      <c r="M328" s="12" t="s">
        <v>50</v>
      </c>
    </row>
    <row r="329" customFormat="false" ht="15" hidden="false" customHeight="true" outlineLevel="0" collapsed="false">
      <c r="A329" s="17" t="s">
        <v>424</v>
      </c>
      <c r="B329" s="18" t="s">
        <v>68</v>
      </c>
      <c r="C329" s="17" t="s">
        <v>58</v>
      </c>
      <c r="D329" s="18" t="s">
        <v>53</v>
      </c>
      <c r="E329" s="18" t="s">
        <v>129</v>
      </c>
      <c r="F329" s="17" t="n">
        <v>213</v>
      </c>
      <c r="G329" s="19" t="n">
        <v>1500</v>
      </c>
      <c r="H329" s="19" t="n">
        <v>319500</v>
      </c>
      <c r="I329" s="20" t="n">
        <v>0</v>
      </c>
      <c r="J329" s="21" t="n">
        <f aca="false">H329*(1-I329/100)</f>
        <v>319500</v>
      </c>
      <c r="K329" s="17" t="n">
        <v>11</v>
      </c>
      <c r="L329" s="17" t="s">
        <v>49</v>
      </c>
      <c r="M329" s="17" t="s">
        <v>61</v>
      </c>
    </row>
    <row r="330" customFormat="false" ht="15" hidden="false" customHeight="true" outlineLevel="0" collapsed="false">
      <c r="A330" s="12" t="s">
        <v>425</v>
      </c>
      <c r="B330" s="13" t="s">
        <v>106</v>
      </c>
      <c r="C330" s="12" t="s">
        <v>72</v>
      </c>
      <c r="D330" s="13" t="s">
        <v>64</v>
      </c>
      <c r="E330" s="13" t="s">
        <v>83</v>
      </c>
      <c r="F330" s="12" t="n">
        <v>293</v>
      </c>
      <c r="G330" s="14" t="n">
        <v>2000</v>
      </c>
      <c r="H330" s="14" t="n">
        <v>586000</v>
      </c>
      <c r="I330" s="15" t="n">
        <v>8</v>
      </c>
      <c r="J330" s="16" t="n">
        <f aca="false">H330*(1-I330/100)</f>
        <v>539120</v>
      </c>
      <c r="K330" s="12" t="n">
        <v>3</v>
      </c>
      <c r="L330" s="12" t="s">
        <v>66</v>
      </c>
      <c r="M330" s="12" t="s">
        <v>61</v>
      </c>
    </row>
    <row r="331" customFormat="false" ht="15" hidden="false" customHeight="true" outlineLevel="0" collapsed="false">
      <c r="A331" s="17" t="s">
        <v>426</v>
      </c>
      <c r="B331" s="18" t="s">
        <v>78</v>
      </c>
      <c r="C331" s="17" t="s">
        <v>58</v>
      </c>
      <c r="D331" s="18" t="s">
        <v>95</v>
      </c>
      <c r="E331" s="18" t="s">
        <v>122</v>
      </c>
      <c r="F331" s="17" t="n">
        <v>375</v>
      </c>
      <c r="G331" s="19" t="n">
        <v>350</v>
      </c>
      <c r="H331" s="19" t="n">
        <v>131250</v>
      </c>
      <c r="I331" s="20" t="n">
        <v>0</v>
      </c>
      <c r="J331" s="21" t="n">
        <f aca="false">H331*(1-I331/100)</f>
        <v>131250</v>
      </c>
      <c r="K331" s="17" t="n">
        <v>5</v>
      </c>
      <c r="L331" s="17" t="s">
        <v>55</v>
      </c>
      <c r="M331" s="17" t="s">
        <v>50</v>
      </c>
    </row>
    <row r="332" customFormat="false" ht="15" hidden="false" customHeight="true" outlineLevel="0" collapsed="false">
      <c r="A332" s="12" t="s">
        <v>427</v>
      </c>
      <c r="B332" s="13" t="s">
        <v>91</v>
      </c>
      <c r="C332" s="12" t="s">
        <v>79</v>
      </c>
      <c r="D332" s="13" t="s">
        <v>47</v>
      </c>
      <c r="E332" s="13" t="s">
        <v>48</v>
      </c>
      <c r="F332" s="12" t="n">
        <v>172</v>
      </c>
      <c r="G332" s="14" t="n">
        <v>1500</v>
      </c>
      <c r="H332" s="14" t="n">
        <v>258000</v>
      </c>
      <c r="I332" s="15" t="n">
        <v>0</v>
      </c>
      <c r="J332" s="16" t="n">
        <f aca="false">H332*(1-I332/100)</f>
        <v>258000</v>
      </c>
      <c r="K332" s="12" t="n">
        <v>2</v>
      </c>
      <c r="L332" s="12" t="s">
        <v>66</v>
      </c>
      <c r="M332" s="12" t="s">
        <v>50</v>
      </c>
    </row>
    <row r="333" customFormat="false" ht="15" hidden="false" customHeight="true" outlineLevel="0" collapsed="false">
      <c r="A333" s="17" t="s">
        <v>428</v>
      </c>
      <c r="B333" s="18" t="s">
        <v>141</v>
      </c>
      <c r="C333" s="17" t="s">
        <v>72</v>
      </c>
      <c r="D333" s="18" t="s">
        <v>95</v>
      </c>
      <c r="E333" s="18" t="s">
        <v>96</v>
      </c>
      <c r="F333" s="17" t="n">
        <v>62</v>
      </c>
      <c r="G333" s="19" t="n">
        <v>500</v>
      </c>
      <c r="H333" s="19" t="n">
        <v>31000</v>
      </c>
      <c r="I333" s="20" t="n">
        <v>0</v>
      </c>
      <c r="J333" s="21" t="n">
        <f aca="false">H333*(1-I333/100)</f>
        <v>31000</v>
      </c>
      <c r="K333" s="17" t="n">
        <v>3</v>
      </c>
      <c r="L333" s="17" t="s">
        <v>66</v>
      </c>
      <c r="M333" s="17" t="s">
        <v>61</v>
      </c>
    </row>
    <row r="334" customFormat="false" ht="15" hidden="false" customHeight="true" outlineLevel="0" collapsed="false">
      <c r="A334" s="12" t="s">
        <v>429</v>
      </c>
      <c r="B334" s="13" t="s">
        <v>106</v>
      </c>
      <c r="C334" s="12" t="s">
        <v>58</v>
      </c>
      <c r="D334" s="13" t="s">
        <v>53</v>
      </c>
      <c r="E334" s="13" t="s">
        <v>129</v>
      </c>
      <c r="F334" s="12" t="n">
        <v>218</v>
      </c>
      <c r="G334" s="14" t="n">
        <v>350</v>
      </c>
      <c r="H334" s="14" t="n">
        <v>76300</v>
      </c>
      <c r="I334" s="15" t="n">
        <v>0</v>
      </c>
      <c r="J334" s="16" t="n">
        <f aca="false">H334*(1-I334/100)</f>
        <v>76300</v>
      </c>
      <c r="K334" s="12" t="n">
        <v>2</v>
      </c>
      <c r="L334" s="12" t="s">
        <v>66</v>
      </c>
      <c r="M334" s="12" t="s">
        <v>61</v>
      </c>
    </row>
    <row r="335" customFormat="false" ht="15" hidden="false" customHeight="true" outlineLevel="0" collapsed="false">
      <c r="A335" s="17" t="s">
        <v>430</v>
      </c>
      <c r="B335" s="18" t="s">
        <v>52</v>
      </c>
      <c r="C335" s="17" t="s">
        <v>46</v>
      </c>
      <c r="D335" s="18" t="s">
        <v>53</v>
      </c>
      <c r="E335" s="18" t="s">
        <v>129</v>
      </c>
      <c r="F335" s="17" t="n">
        <v>411</v>
      </c>
      <c r="G335" s="19" t="n">
        <v>1500</v>
      </c>
      <c r="H335" s="19" t="n">
        <v>616500</v>
      </c>
      <c r="I335" s="20" t="n">
        <v>15</v>
      </c>
      <c r="J335" s="21" t="n">
        <f aca="false">H335*(1-I335/100)</f>
        <v>524025</v>
      </c>
      <c r="K335" s="17" t="n">
        <v>7</v>
      </c>
      <c r="L335" s="17" t="s">
        <v>74</v>
      </c>
      <c r="M335" s="17" t="s">
        <v>50</v>
      </c>
    </row>
    <row r="336" customFormat="false" ht="15" hidden="false" customHeight="true" outlineLevel="0" collapsed="false">
      <c r="A336" s="12" t="s">
        <v>431</v>
      </c>
      <c r="B336" s="13" t="s">
        <v>141</v>
      </c>
      <c r="C336" s="12" t="s">
        <v>72</v>
      </c>
      <c r="D336" s="13" t="s">
        <v>107</v>
      </c>
      <c r="E336" s="13" t="s">
        <v>108</v>
      </c>
      <c r="F336" s="12" t="n">
        <v>381</v>
      </c>
      <c r="G336" s="14" t="n">
        <v>5000</v>
      </c>
      <c r="H336" s="14" t="n">
        <v>1905000</v>
      </c>
      <c r="I336" s="15" t="n">
        <v>2</v>
      </c>
      <c r="J336" s="16" t="n">
        <f aca="false">H336*(1-I336/100)</f>
        <v>1866900</v>
      </c>
      <c r="K336" s="12" t="n">
        <v>10</v>
      </c>
      <c r="L336" s="12" t="s">
        <v>49</v>
      </c>
      <c r="M336" s="12" t="s">
        <v>50</v>
      </c>
    </row>
    <row r="337" customFormat="false" ht="15" hidden="false" customHeight="true" outlineLevel="0" collapsed="false">
      <c r="A337" s="17" t="s">
        <v>432</v>
      </c>
      <c r="B337" s="18" t="s">
        <v>91</v>
      </c>
      <c r="C337" s="17" t="s">
        <v>79</v>
      </c>
      <c r="D337" s="18" t="s">
        <v>64</v>
      </c>
      <c r="E337" s="18" t="s">
        <v>83</v>
      </c>
      <c r="F337" s="17" t="n">
        <v>164</v>
      </c>
      <c r="G337" s="19" t="n">
        <v>1000</v>
      </c>
      <c r="H337" s="19" t="n">
        <v>164000</v>
      </c>
      <c r="I337" s="20" t="n">
        <v>8</v>
      </c>
      <c r="J337" s="21" t="n">
        <f aca="false">H337*(1-I337/100)</f>
        <v>150880</v>
      </c>
      <c r="K337" s="17" t="n">
        <v>3</v>
      </c>
      <c r="L337" s="17" t="s">
        <v>66</v>
      </c>
      <c r="M337" s="17" t="s">
        <v>50</v>
      </c>
    </row>
    <row r="338" customFormat="false" ht="15" hidden="false" customHeight="true" outlineLevel="0" collapsed="false">
      <c r="A338" s="12" t="s">
        <v>433</v>
      </c>
      <c r="B338" s="13" t="s">
        <v>120</v>
      </c>
      <c r="C338" s="12" t="s">
        <v>72</v>
      </c>
      <c r="D338" s="13" t="s">
        <v>95</v>
      </c>
      <c r="E338" s="13" t="s">
        <v>96</v>
      </c>
      <c r="F338" s="12" t="n">
        <v>163</v>
      </c>
      <c r="G338" s="14" t="n">
        <v>3000</v>
      </c>
      <c r="H338" s="14" t="n">
        <v>489000</v>
      </c>
      <c r="I338" s="15" t="n">
        <v>15</v>
      </c>
      <c r="J338" s="16" t="n">
        <f aca="false">H338*(1-I338/100)</f>
        <v>415650</v>
      </c>
      <c r="K338" s="12" t="n">
        <v>2</v>
      </c>
      <c r="L338" s="12" t="s">
        <v>66</v>
      </c>
      <c r="M338" s="12" t="s">
        <v>61</v>
      </c>
    </row>
    <row r="339" customFormat="false" ht="15" hidden="false" customHeight="true" outlineLevel="0" collapsed="false">
      <c r="A339" s="17" t="s">
        <v>434</v>
      </c>
      <c r="B339" s="18" t="s">
        <v>63</v>
      </c>
      <c r="C339" s="17" t="s">
        <v>79</v>
      </c>
      <c r="D339" s="18" t="s">
        <v>47</v>
      </c>
      <c r="E339" s="18" t="s">
        <v>104</v>
      </c>
      <c r="F339" s="17" t="n">
        <v>263</v>
      </c>
      <c r="G339" s="19" t="n">
        <v>750</v>
      </c>
      <c r="H339" s="19" t="n">
        <v>197250</v>
      </c>
      <c r="I339" s="20" t="n">
        <v>8</v>
      </c>
      <c r="J339" s="21" t="n">
        <f aca="false">H339*(1-I339/100)</f>
        <v>181470</v>
      </c>
      <c r="K339" s="17" t="n">
        <v>2</v>
      </c>
      <c r="L339" s="17" t="s">
        <v>66</v>
      </c>
      <c r="M339" s="17" t="s">
        <v>50</v>
      </c>
    </row>
    <row r="340" customFormat="false" ht="15" hidden="false" customHeight="true" outlineLevel="0" collapsed="false">
      <c r="A340" s="12" t="s">
        <v>435</v>
      </c>
      <c r="B340" s="13" t="s">
        <v>141</v>
      </c>
      <c r="C340" s="12" t="s">
        <v>46</v>
      </c>
      <c r="D340" s="13" t="s">
        <v>107</v>
      </c>
      <c r="E340" s="13" t="s">
        <v>135</v>
      </c>
      <c r="F340" s="12" t="n">
        <v>440</v>
      </c>
      <c r="G340" s="14" t="n">
        <v>2000</v>
      </c>
      <c r="H340" s="14" t="n">
        <v>880000</v>
      </c>
      <c r="I340" s="15" t="n">
        <v>15</v>
      </c>
      <c r="J340" s="16" t="n">
        <f aca="false">H340*(1-I340/100)</f>
        <v>748000</v>
      </c>
      <c r="K340" s="12" t="n">
        <v>6</v>
      </c>
      <c r="L340" s="12" t="s">
        <v>55</v>
      </c>
      <c r="M340" s="12" t="s">
        <v>61</v>
      </c>
    </row>
    <row r="341" customFormat="false" ht="15" hidden="false" customHeight="true" outlineLevel="0" collapsed="false">
      <c r="A341" s="17" t="s">
        <v>436</v>
      </c>
      <c r="B341" s="18" t="s">
        <v>68</v>
      </c>
      <c r="C341" s="17" t="s">
        <v>72</v>
      </c>
      <c r="D341" s="18" t="s">
        <v>47</v>
      </c>
      <c r="E341" s="18" t="s">
        <v>104</v>
      </c>
      <c r="F341" s="17" t="n">
        <v>79</v>
      </c>
      <c r="G341" s="19" t="n">
        <v>1000</v>
      </c>
      <c r="H341" s="19" t="n">
        <v>79000</v>
      </c>
      <c r="I341" s="20" t="n">
        <v>5</v>
      </c>
      <c r="J341" s="21" t="n">
        <f aca="false">H341*(1-I341/100)</f>
        <v>75050</v>
      </c>
      <c r="K341" s="17" t="n">
        <v>10</v>
      </c>
      <c r="L341" s="17" t="s">
        <v>49</v>
      </c>
      <c r="M341" s="17" t="s">
        <v>50</v>
      </c>
    </row>
    <row r="342" customFormat="false" ht="15" hidden="false" customHeight="true" outlineLevel="0" collapsed="false">
      <c r="A342" s="12" t="s">
        <v>437</v>
      </c>
      <c r="B342" s="13" t="s">
        <v>100</v>
      </c>
      <c r="C342" s="12" t="s">
        <v>81</v>
      </c>
      <c r="D342" s="13" t="s">
        <v>64</v>
      </c>
      <c r="E342" s="13" t="s">
        <v>83</v>
      </c>
      <c r="F342" s="12" t="n">
        <v>173</v>
      </c>
      <c r="G342" s="14" t="n">
        <v>1000</v>
      </c>
      <c r="H342" s="14" t="n">
        <v>173000</v>
      </c>
      <c r="I342" s="15" t="n">
        <v>12</v>
      </c>
      <c r="J342" s="16" t="n">
        <f aca="false">H342*(1-I342/100)</f>
        <v>152240</v>
      </c>
      <c r="K342" s="12" t="n">
        <v>12</v>
      </c>
      <c r="L342" s="12" t="s">
        <v>49</v>
      </c>
      <c r="M342" s="12" t="s">
        <v>61</v>
      </c>
    </row>
    <row r="343" customFormat="false" ht="15" hidden="false" customHeight="true" outlineLevel="0" collapsed="false">
      <c r="A343" s="17" t="s">
        <v>438</v>
      </c>
      <c r="B343" s="18" t="s">
        <v>111</v>
      </c>
      <c r="C343" s="17" t="s">
        <v>81</v>
      </c>
      <c r="D343" s="18" t="s">
        <v>107</v>
      </c>
      <c r="E343" s="18" t="s">
        <v>135</v>
      </c>
      <c r="F343" s="17" t="n">
        <v>428</v>
      </c>
      <c r="G343" s="19" t="n">
        <v>2000</v>
      </c>
      <c r="H343" s="19" t="n">
        <v>856000</v>
      </c>
      <c r="I343" s="20" t="n">
        <v>5</v>
      </c>
      <c r="J343" s="21" t="n">
        <f aca="false">H343*(1-I343/100)</f>
        <v>813200</v>
      </c>
      <c r="K343" s="17" t="n">
        <v>2</v>
      </c>
      <c r="L343" s="17" t="s">
        <v>66</v>
      </c>
      <c r="M343" s="17" t="s">
        <v>50</v>
      </c>
    </row>
    <row r="344" customFormat="false" ht="15" hidden="false" customHeight="true" outlineLevel="0" collapsed="false">
      <c r="A344" s="12" t="s">
        <v>439</v>
      </c>
      <c r="B344" s="13" t="s">
        <v>52</v>
      </c>
      <c r="C344" s="12" t="s">
        <v>79</v>
      </c>
      <c r="D344" s="13" t="s">
        <v>47</v>
      </c>
      <c r="E344" s="13" t="s">
        <v>104</v>
      </c>
      <c r="F344" s="12" t="n">
        <v>23</v>
      </c>
      <c r="G344" s="14" t="n">
        <v>3000</v>
      </c>
      <c r="H344" s="14" t="n">
        <v>69000</v>
      </c>
      <c r="I344" s="15" t="n">
        <v>12</v>
      </c>
      <c r="J344" s="16" t="n">
        <f aca="false">H344*(1-I344/100)</f>
        <v>60720</v>
      </c>
      <c r="K344" s="12" t="n">
        <v>4</v>
      </c>
      <c r="L344" s="12" t="s">
        <v>55</v>
      </c>
      <c r="M344" s="12" t="s">
        <v>61</v>
      </c>
    </row>
    <row r="345" customFormat="false" ht="15" hidden="false" customHeight="true" outlineLevel="0" collapsed="false">
      <c r="A345" s="17" t="s">
        <v>440</v>
      </c>
      <c r="B345" s="18" t="s">
        <v>141</v>
      </c>
      <c r="C345" s="17" t="s">
        <v>46</v>
      </c>
      <c r="D345" s="18" t="s">
        <v>107</v>
      </c>
      <c r="E345" s="18" t="s">
        <v>117</v>
      </c>
      <c r="F345" s="17" t="n">
        <v>265</v>
      </c>
      <c r="G345" s="19" t="n">
        <v>500</v>
      </c>
      <c r="H345" s="19" t="n">
        <v>132500</v>
      </c>
      <c r="I345" s="20" t="n">
        <v>12</v>
      </c>
      <c r="J345" s="21" t="n">
        <f aca="false">H345*(1-I345/100)</f>
        <v>116600</v>
      </c>
      <c r="K345" s="17" t="n">
        <v>5</v>
      </c>
      <c r="L345" s="17" t="s">
        <v>55</v>
      </c>
      <c r="M345" s="17" t="s">
        <v>50</v>
      </c>
    </row>
    <row r="346" customFormat="false" ht="15" hidden="false" customHeight="true" outlineLevel="0" collapsed="false">
      <c r="A346" s="12" t="s">
        <v>441</v>
      </c>
      <c r="B346" s="13" t="s">
        <v>63</v>
      </c>
      <c r="C346" s="12" t="s">
        <v>79</v>
      </c>
      <c r="D346" s="13" t="s">
        <v>47</v>
      </c>
      <c r="E346" s="13" t="s">
        <v>48</v>
      </c>
      <c r="F346" s="12" t="n">
        <v>414</v>
      </c>
      <c r="G346" s="14" t="n">
        <v>2000</v>
      </c>
      <c r="H346" s="14" t="n">
        <v>828000</v>
      </c>
      <c r="I346" s="15" t="n">
        <v>0</v>
      </c>
      <c r="J346" s="16" t="n">
        <f aca="false">H346*(1-I346/100)</f>
        <v>828000</v>
      </c>
      <c r="K346" s="12" t="n">
        <v>8</v>
      </c>
      <c r="L346" s="12" t="s">
        <v>74</v>
      </c>
      <c r="M346" s="12" t="s">
        <v>61</v>
      </c>
    </row>
    <row r="347" customFormat="false" ht="15" hidden="false" customHeight="true" outlineLevel="0" collapsed="false">
      <c r="A347" s="17" t="s">
        <v>442</v>
      </c>
      <c r="B347" s="18" t="s">
        <v>91</v>
      </c>
      <c r="C347" s="17" t="s">
        <v>58</v>
      </c>
      <c r="D347" s="18" t="s">
        <v>53</v>
      </c>
      <c r="E347" s="18" t="s">
        <v>129</v>
      </c>
      <c r="F347" s="17" t="n">
        <v>224</v>
      </c>
      <c r="G347" s="19" t="n">
        <v>5000</v>
      </c>
      <c r="H347" s="19" t="n">
        <v>1120000</v>
      </c>
      <c r="I347" s="20" t="n">
        <v>0</v>
      </c>
      <c r="J347" s="21" t="n">
        <f aca="false">H347*(1-I347/100)</f>
        <v>1120000</v>
      </c>
      <c r="K347" s="17" t="n">
        <v>6</v>
      </c>
      <c r="L347" s="17" t="s">
        <v>55</v>
      </c>
      <c r="M347" s="17" t="s">
        <v>50</v>
      </c>
    </row>
    <row r="348" customFormat="false" ht="15" hidden="false" customHeight="true" outlineLevel="0" collapsed="false">
      <c r="A348" s="12" t="s">
        <v>443</v>
      </c>
      <c r="B348" s="13" t="s">
        <v>45</v>
      </c>
      <c r="C348" s="12" t="s">
        <v>79</v>
      </c>
      <c r="D348" s="13" t="s">
        <v>47</v>
      </c>
      <c r="E348" s="13" t="s">
        <v>104</v>
      </c>
      <c r="F348" s="12" t="n">
        <v>191</v>
      </c>
      <c r="G348" s="14" t="n">
        <v>500</v>
      </c>
      <c r="H348" s="14" t="n">
        <v>95500</v>
      </c>
      <c r="I348" s="15" t="n">
        <v>12</v>
      </c>
      <c r="J348" s="16" t="n">
        <f aca="false">H348*(1-I348/100)</f>
        <v>84040</v>
      </c>
      <c r="K348" s="12" t="n">
        <v>10</v>
      </c>
      <c r="L348" s="12" t="s">
        <v>49</v>
      </c>
      <c r="M348" s="12" t="s">
        <v>50</v>
      </c>
    </row>
    <row r="349" customFormat="false" ht="15" hidden="false" customHeight="true" outlineLevel="0" collapsed="false">
      <c r="A349" s="17" t="s">
        <v>444</v>
      </c>
      <c r="B349" s="18" t="s">
        <v>91</v>
      </c>
      <c r="C349" s="17" t="s">
        <v>81</v>
      </c>
      <c r="D349" s="18" t="s">
        <v>107</v>
      </c>
      <c r="E349" s="18" t="s">
        <v>108</v>
      </c>
      <c r="F349" s="17" t="n">
        <v>15</v>
      </c>
      <c r="G349" s="19" t="n">
        <v>350</v>
      </c>
      <c r="H349" s="19" t="n">
        <v>5250</v>
      </c>
      <c r="I349" s="20" t="n">
        <v>5</v>
      </c>
      <c r="J349" s="21" t="n">
        <f aca="false">H349*(1-I349/100)</f>
        <v>4987.5</v>
      </c>
      <c r="K349" s="17" t="n">
        <v>4</v>
      </c>
      <c r="L349" s="17" t="s">
        <v>55</v>
      </c>
      <c r="M349" s="17" t="s">
        <v>50</v>
      </c>
    </row>
    <row r="350" customFormat="false" ht="15" hidden="false" customHeight="true" outlineLevel="0" collapsed="false">
      <c r="A350" s="12" t="s">
        <v>445</v>
      </c>
      <c r="B350" s="13" t="s">
        <v>106</v>
      </c>
      <c r="C350" s="12" t="s">
        <v>81</v>
      </c>
      <c r="D350" s="13" t="s">
        <v>107</v>
      </c>
      <c r="E350" s="13" t="s">
        <v>135</v>
      </c>
      <c r="F350" s="12" t="n">
        <v>405</v>
      </c>
      <c r="G350" s="14" t="n">
        <v>5000</v>
      </c>
      <c r="H350" s="14" t="n">
        <v>2025000</v>
      </c>
      <c r="I350" s="15" t="n">
        <v>2</v>
      </c>
      <c r="J350" s="16" t="n">
        <f aca="false">H350*(1-I350/100)</f>
        <v>1984500</v>
      </c>
      <c r="K350" s="12" t="n">
        <v>6</v>
      </c>
      <c r="L350" s="12" t="s">
        <v>55</v>
      </c>
      <c r="M350" s="12" t="s">
        <v>50</v>
      </c>
    </row>
    <row r="351" customFormat="false" ht="15" hidden="false" customHeight="true" outlineLevel="0" collapsed="false">
      <c r="A351" s="17" t="s">
        <v>446</v>
      </c>
      <c r="B351" s="18" t="s">
        <v>100</v>
      </c>
      <c r="C351" s="17" t="s">
        <v>46</v>
      </c>
      <c r="D351" s="18" t="s">
        <v>95</v>
      </c>
      <c r="E351" s="18" t="s">
        <v>96</v>
      </c>
      <c r="F351" s="17" t="n">
        <v>481</v>
      </c>
      <c r="G351" s="19" t="n">
        <v>350</v>
      </c>
      <c r="H351" s="19" t="n">
        <v>168350</v>
      </c>
      <c r="I351" s="20" t="n">
        <v>0</v>
      </c>
      <c r="J351" s="21" t="n">
        <f aca="false">H351*(1-I351/100)</f>
        <v>168350</v>
      </c>
      <c r="K351" s="17" t="n">
        <v>12</v>
      </c>
      <c r="L351" s="17" t="s">
        <v>49</v>
      </c>
      <c r="M351" s="17" t="s">
        <v>50</v>
      </c>
    </row>
    <row r="352" customFormat="false" ht="15" hidden="false" customHeight="true" outlineLevel="0" collapsed="false">
      <c r="A352" s="12" t="s">
        <v>447</v>
      </c>
      <c r="B352" s="13" t="s">
        <v>76</v>
      </c>
      <c r="C352" s="12" t="s">
        <v>81</v>
      </c>
      <c r="D352" s="13" t="s">
        <v>95</v>
      </c>
      <c r="E352" s="13" t="s">
        <v>96</v>
      </c>
      <c r="F352" s="12" t="n">
        <v>411</v>
      </c>
      <c r="G352" s="14" t="n">
        <v>750</v>
      </c>
      <c r="H352" s="14" t="n">
        <v>308250</v>
      </c>
      <c r="I352" s="15" t="n">
        <v>10</v>
      </c>
      <c r="J352" s="16" t="n">
        <f aca="false">H352*(1-I352/100)</f>
        <v>277425</v>
      </c>
      <c r="K352" s="12" t="n">
        <v>8</v>
      </c>
      <c r="L352" s="12" t="s">
        <v>74</v>
      </c>
      <c r="M352" s="12" t="s">
        <v>61</v>
      </c>
    </row>
    <row r="353" customFormat="false" ht="15" hidden="false" customHeight="true" outlineLevel="0" collapsed="false">
      <c r="A353" s="17" t="s">
        <v>448</v>
      </c>
      <c r="B353" s="18" t="s">
        <v>100</v>
      </c>
      <c r="C353" s="17" t="s">
        <v>46</v>
      </c>
      <c r="D353" s="18" t="s">
        <v>107</v>
      </c>
      <c r="E353" s="18" t="s">
        <v>117</v>
      </c>
      <c r="F353" s="17" t="n">
        <v>366</v>
      </c>
      <c r="G353" s="19" t="n">
        <v>3000</v>
      </c>
      <c r="H353" s="19" t="n">
        <v>1098000</v>
      </c>
      <c r="I353" s="20" t="n">
        <v>5</v>
      </c>
      <c r="J353" s="21" t="n">
        <f aca="false">H353*(1-I353/100)</f>
        <v>1043100</v>
      </c>
      <c r="K353" s="17" t="n">
        <v>2</v>
      </c>
      <c r="L353" s="17" t="s">
        <v>66</v>
      </c>
      <c r="M353" s="17" t="s">
        <v>61</v>
      </c>
    </row>
    <row r="354" customFormat="false" ht="15" hidden="false" customHeight="true" outlineLevel="0" collapsed="false">
      <c r="A354" s="12" t="s">
        <v>449</v>
      </c>
      <c r="B354" s="13" t="s">
        <v>71</v>
      </c>
      <c r="C354" s="12" t="s">
        <v>46</v>
      </c>
      <c r="D354" s="13" t="s">
        <v>59</v>
      </c>
      <c r="E354" s="13" t="s">
        <v>69</v>
      </c>
      <c r="F354" s="12" t="n">
        <v>341</v>
      </c>
      <c r="G354" s="14" t="n">
        <v>350</v>
      </c>
      <c r="H354" s="14" t="n">
        <v>119350</v>
      </c>
      <c r="I354" s="15" t="n">
        <v>12</v>
      </c>
      <c r="J354" s="16" t="n">
        <f aca="false">H354*(1-I354/100)</f>
        <v>105028</v>
      </c>
      <c r="K354" s="12" t="n">
        <v>3</v>
      </c>
      <c r="L354" s="12" t="s">
        <v>66</v>
      </c>
      <c r="M354" s="12" t="s">
        <v>50</v>
      </c>
    </row>
    <row r="355" customFormat="false" ht="15" hidden="false" customHeight="true" outlineLevel="0" collapsed="false">
      <c r="A355" s="17" t="s">
        <v>450</v>
      </c>
      <c r="B355" s="18" t="s">
        <v>57</v>
      </c>
      <c r="C355" s="17" t="s">
        <v>79</v>
      </c>
      <c r="D355" s="18" t="s">
        <v>53</v>
      </c>
      <c r="E355" s="18" t="s">
        <v>73</v>
      </c>
      <c r="F355" s="17" t="n">
        <v>179</v>
      </c>
      <c r="G355" s="19" t="n">
        <v>5000</v>
      </c>
      <c r="H355" s="19" t="n">
        <v>895000</v>
      </c>
      <c r="I355" s="20" t="n">
        <v>8</v>
      </c>
      <c r="J355" s="21" t="n">
        <f aca="false">H355*(1-I355/100)</f>
        <v>823400</v>
      </c>
      <c r="K355" s="17" t="n">
        <v>8</v>
      </c>
      <c r="L355" s="17" t="s">
        <v>74</v>
      </c>
      <c r="M355" s="17" t="s">
        <v>50</v>
      </c>
    </row>
    <row r="356" customFormat="false" ht="15" hidden="false" customHeight="true" outlineLevel="0" collapsed="false">
      <c r="A356" s="12" t="s">
        <v>451</v>
      </c>
      <c r="B356" s="13" t="s">
        <v>91</v>
      </c>
      <c r="C356" s="12" t="s">
        <v>79</v>
      </c>
      <c r="D356" s="13" t="s">
        <v>64</v>
      </c>
      <c r="E356" s="13" t="s">
        <v>65</v>
      </c>
      <c r="F356" s="12" t="n">
        <v>346</v>
      </c>
      <c r="G356" s="14" t="n">
        <v>2000</v>
      </c>
      <c r="H356" s="14" t="n">
        <v>692000</v>
      </c>
      <c r="I356" s="15" t="n">
        <v>8</v>
      </c>
      <c r="J356" s="16" t="n">
        <f aca="false">H356*(1-I356/100)</f>
        <v>636640</v>
      </c>
      <c r="K356" s="12" t="n">
        <v>1</v>
      </c>
      <c r="L356" s="12" t="s">
        <v>66</v>
      </c>
      <c r="M356" s="12" t="s">
        <v>50</v>
      </c>
    </row>
    <row r="357" customFormat="false" ht="15" hidden="false" customHeight="true" outlineLevel="0" collapsed="false">
      <c r="A357" s="17" t="s">
        <v>452</v>
      </c>
      <c r="B357" s="18" t="s">
        <v>106</v>
      </c>
      <c r="C357" s="17" t="s">
        <v>58</v>
      </c>
      <c r="D357" s="18" t="s">
        <v>107</v>
      </c>
      <c r="E357" s="18" t="s">
        <v>135</v>
      </c>
      <c r="F357" s="17" t="n">
        <v>12</v>
      </c>
      <c r="G357" s="19" t="n">
        <v>750</v>
      </c>
      <c r="H357" s="19" t="n">
        <v>9000</v>
      </c>
      <c r="I357" s="20" t="n">
        <v>2</v>
      </c>
      <c r="J357" s="21" t="n">
        <f aca="false">H357*(1-I357/100)</f>
        <v>8820</v>
      </c>
      <c r="K357" s="17" t="n">
        <v>5</v>
      </c>
      <c r="L357" s="17" t="s">
        <v>55</v>
      </c>
      <c r="M357" s="17" t="s">
        <v>50</v>
      </c>
    </row>
    <row r="358" customFormat="false" ht="15" hidden="false" customHeight="true" outlineLevel="0" collapsed="false">
      <c r="A358" s="12" t="s">
        <v>453</v>
      </c>
      <c r="B358" s="13" t="s">
        <v>45</v>
      </c>
      <c r="C358" s="12" t="s">
        <v>58</v>
      </c>
      <c r="D358" s="13" t="s">
        <v>64</v>
      </c>
      <c r="E358" s="13" t="s">
        <v>83</v>
      </c>
      <c r="F358" s="12" t="n">
        <v>176</v>
      </c>
      <c r="G358" s="14" t="n">
        <v>750</v>
      </c>
      <c r="H358" s="14" t="n">
        <v>132000</v>
      </c>
      <c r="I358" s="15" t="n">
        <v>8</v>
      </c>
      <c r="J358" s="16" t="n">
        <f aca="false">H358*(1-I358/100)</f>
        <v>121440</v>
      </c>
      <c r="K358" s="12" t="n">
        <v>2</v>
      </c>
      <c r="L358" s="12" t="s">
        <v>66</v>
      </c>
      <c r="M358" s="12" t="s">
        <v>61</v>
      </c>
    </row>
    <row r="359" customFormat="false" ht="15" hidden="false" customHeight="true" outlineLevel="0" collapsed="false">
      <c r="A359" s="17" t="s">
        <v>454</v>
      </c>
      <c r="B359" s="18" t="s">
        <v>100</v>
      </c>
      <c r="C359" s="17" t="s">
        <v>58</v>
      </c>
      <c r="D359" s="18" t="s">
        <v>47</v>
      </c>
      <c r="E359" s="18" t="s">
        <v>48</v>
      </c>
      <c r="F359" s="17" t="n">
        <v>315</v>
      </c>
      <c r="G359" s="19" t="n">
        <v>2000</v>
      </c>
      <c r="H359" s="19" t="n">
        <v>630000</v>
      </c>
      <c r="I359" s="20" t="n">
        <v>10</v>
      </c>
      <c r="J359" s="21" t="n">
        <f aca="false">H359*(1-I359/100)</f>
        <v>567000</v>
      </c>
      <c r="K359" s="17" t="n">
        <v>7</v>
      </c>
      <c r="L359" s="17" t="s">
        <v>74</v>
      </c>
      <c r="M359" s="17" t="s">
        <v>50</v>
      </c>
    </row>
    <row r="360" customFormat="false" ht="15" hidden="false" customHeight="true" outlineLevel="0" collapsed="false">
      <c r="A360" s="12" t="s">
        <v>455</v>
      </c>
      <c r="B360" s="13" t="s">
        <v>76</v>
      </c>
      <c r="C360" s="12" t="s">
        <v>81</v>
      </c>
      <c r="D360" s="13" t="s">
        <v>107</v>
      </c>
      <c r="E360" s="13" t="s">
        <v>117</v>
      </c>
      <c r="F360" s="12" t="n">
        <v>98</v>
      </c>
      <c r="G360" s="14" t="n">
        <v>1000</v>
      </c>
      <c r="H360" s="14" t="n">
        <v>98000</v>
      </c>
      <c r="I360" s="15" t="n">
        <v>10</v>
      </c>
      <c r="J360" s="16" t="n">
        <f aca="false">H360*(1-I360/100)</f>
        <v>88200</v>
      </c>
      <c r="K360" s="12" t="n">
        <v>10</v>
      </c>
      <c r="L360" s="12" t="s">
        <v>49</v>
      </c>
      <c r="M360" s="12" t="s">
        <v>50</v>
      </c>
    </row>
    <row r="361" customFormat="false" ht="15" hidden="false" customHeight="true" outlineLevel="0" collapsed="false">
      <c r="A361" s="17" t="s">
        <v>456</v>
      </c>
      <c r="B361" s="18" t="s">
        <v>89</v>
      </c>
      <c r="C361" s="17" t="s">
        <v>81</v>
      </c>
      <c r="D361" s="18" t="s">
        <v>59</v>
      </c>
      <c r="E361" s="18" t="s">
        <v>131</v>
      </c>
      <c r="F361" s="17" t="n">
        <v>166</v>
      </c>
      <c r="G361" s="19" t="n">
        <v>350</v>
      </c>
      <c r="H361" s="19" t="n">
        <v>58100</v>
      </c>
      <c r="I361" s="20" t="n">
        <v>2</v>
      </c>
      <c r="J361" s="21" t="n">
        <f aca="false">H361*(1-I361/100)</f>
        <v>56938</v>
      </c>
      <c r="K361" s="17" t="n">
        <v>6</v>
      </c>
      <c r="L361" s="17" t="s">
        <v>55</v>
      </c>
      <c r="M361" s="17" t="s">
        <v>50</v>
      </c>
    </row>
    <row r="362" customFormat="false" ht="15" hidden="false" customHeight="true" outlineLevel="0" collapsed="false">
      <c r="A362" s="12" t="s">
        <v>457</v>
      </c>
      <c r="B362" s="13" t="s">
        <v>57</v>
      </c>
      <c r="C362" s="12" t="s">
        <v>72</v>
      </c>
      <c r="D362" s="13" t="s">
        <v>107</v>
      </c>
      <c r="E362" s="13" t="s">
        <v>117</v>
      </c>
      <c r="F362" s="12" t="n">
        <v>80</v>
      </c>
      <c r="G362" s="14" t="n">
        <v>2000</v>
      </c>
      <c r="H362" s="14" t="n">
        <v>160000</v>
      </c>
      <c r="I362" s="15" t="n">
        <v>8</v>
      </c>
      <c r="J362" s="16" t="n">
        <f aca="false">H362*(1-I362/100)</f>
        <v>147200</v>
      </c>
      <c r="K362" s="12" t="n">
        <v>3</v>
      </c>
      <c r="L362" s="12" t="s">
        <v>66</v>
      </c>
      <c r="M362" s="12" t="s">
        <v>61</v>
      </c>
    </row>
    <row r="363" customFormat="false" ht="15" hidden="false" customHeight="true" outlineLevel="0" collapsed="false">
      <c r="A363" s="17" t="s">
        <v>458</v>
      </c>
      <c r="B363" s="18" t="s">
        <v>52</v>
      </c>
      <c r="C363" s="17" t="s">
        <v>79</v>
      </c>
      <c r="D363" s="18" t="s">
        <v>53</v>
      </c>
      <c r="E363" s="18" t="s">
        <v>73</v>
      </c>
      <c r="F363" s="17" t="n">
        <v>260</v>
      </c>
      <c r="G363" s="19" t="n">
        <v>1000</v>
      </c>
      <c r="H363" s="19" t="n">
        <v>260000</v>
      </c>
      <c r="I363" s="20" t="n">
        <v>2</v>
      </c>
      <c r="J363" s="21" t="n">
        <f aca="false">H363*(1-I363/100)</f>
        <v>254800</v>
      </c>
      <c r="K363" s="17" t="n">
        <v>3</v>
      </c>
      <c r="L363" s="17" t="s">
        <v>66</v>
      </c>
      <c r="M363" s="17" t="s">
        <v>61</v>
      </c>
    </row>
    <row r="364" customFormat="false" ht="15" hidden="false" customHeight="true" outlineLevel="0" collapsed="false">
      <c r="A364" s="12" t="s">
        <v>459</v>
      </c>
      <c r="B364" s="13" t="s">
        <v>106</v>
      </c>
      <c r="C364" s="12" t="s">
        <v>58</v>
      </c>
      <c r="D364" s="13" t="s">
        <v>59</v>
      </c>
      <c r="E364" s="13" t="s">
        <v>69</v>
      </c>
      <c r="F364" s="12" t="n">
        <v>497</v>
      </c>
      <c r="G364" s="14" t="n">
        <v>250</v>
      </c>
      <c r="H364" s="14" t="n">
        <v>124250</v>
      </c>
      <c r="I364" s="15" t="n">
        <v>8</v>
      </c>
      <c r="J364" s="16" t="n">
        <f aca="false">H364*(1-I364/100)</f>
        <v>114310</v>
      </c>
      <c r="K364" s="12" t="n">
        <v>3</v>
      </c>
      <c r="L364" s="12" t="s">
        <v>66</v>
      </c>
      <c r="M364" s="12" t="s">
        <v>50</v>
      </c>
    </row>
    <row r="365" customFormat="false" ht="15" hidden="false" customHeight="true" outlineLevel="0" collapsed="false">
      <c r="A365" s="17" t="s">
        <v>460</v>
      </c>
      <c r="B365" s="18" t="s">
        <v>91</v>
      </c>
      <c r="C365" s="17" t="s">
        <v>58</v>
      </c>
      <c r="D365" s="18" t="s">
        <v>53</v>
      </c>
      <c r="E365" s="18" t="s">
        <v>129</v>
      </c>
      <c r="F365" s="17" t="n">
        <v>263</v>
      </c>
      <c r="G365" s="19" t="n">
        <v>2000</v>
      </c>
      <c r="H365" s="19" t="n">
        <v>526000</v>
      </c>
      <c r="I365" s="20" t="n">
        <v>12</v>
      </c>
      <c r="J365" s="21" t="n">
        <f aca="false">H365*(1-I365/100)</f>
        <v>462880</v>
      </c>
      <c r="K365" s="17" t="n">
        <v>8</v>
      </c>
      <c r="L365" s="17" t="s">
        <v>74</v>
      </c>
      <c r="M365" s="17" t="s">
        <v>61</v>
      </c>
    </row>
    <row r="366" customFormat="false" ht="15" hidden="false" customHeight="true" outlineLevel="0" collapsed="false">
      <c r="A366" s="12" t="s">
        <v>461</v>
      </c>
      <c r="B366" s="13" t="s">
        <v>106</v>
      </c>
      <c r="C366" s="12" t="s">
        <v>72</v>
      </c>
      <c r="D366" s="13" t="s">
        <v>64</v>
      </c>
      <c r="E366" s="13" t="s">
        <v>85</v>
      </c>
      <c r="F366" s="12" t="n">
        <v>299</v>
      </c>
      <c r="G366" s="14" t="n">
        <v>250</v>
      </c>
      <c r="H366" s="14" t="n">
        <v>74750</v>
      </c>
      <c r="I366" s="15" t="n">
        <v>15</v>
      </c>
      <c r="J366" s="16" t="n">
        <f aca="false">H366*(1-I366/100)</f>
        <v>63537.5</v>
      </c>
      <c r="K366" s="12" t="n">
        <v>4</v>
      </c>
      <c r="L366" s="12" t="s">
        <v>55</v>
      </c>
      <c r="M366" s="12" t="s">
        <v>61</v>
      </c>
    </row>
    <row r="367" customFormat="false" ht="15" hidden="false" customHeight="true" outlineLevel="0" collapsed="false">
      <c r="A367" s="17" t="s">
        <v>462</v>
      </c>
      <c r="B367" s="18" t="s">
        <v>71</v>
      </c>
      <c r="C367" s="17" t="s">
        <v>81</v>
      </c>
      <c r="D367" s="18" t="s">
        <v>64</v>
      </c>
      <c r="E367" s="18" t="s">
        <v>65</v>
      </c>
      <c r="F367" s="17" t="n">
        <v>157</v>
      </c>
      <c r="G367" s="19" t="n">
        <v>500</v>
      </c>
      <c r="H367" s="19" t="n">
        <v>78500</v>
      </c>
      <c r="I367" s="20" t="n">
        <v>15</v>
      </c>
      <c r="J367" s="21" t="n">
        <f aca="false">H367*(1-I367/100)</f>
        <v>66725</v>
      </c>
      <c r="K367" s="17" t="n">
        <v>8</v>
      </c>
      <c r="L367" s="17" t="s">
        <v>74</v>
      </c>
      <c r="M367" s="17" t="s">
        <v>61</v>
      </c>
    </row>
    <row r="368" customFormat="false" ht="15" hidden="false" customHeight="true" outlineLevel="0" collapsed="false">
      <c r="A368" s="12" t="s">
        <v>463</v>
      </c>
      <c r="B368" s="13" t="s">
        <v>52</v>
      </c>
      <c r="C368" s="12" t="s">
        <v>58</v>
      </c>
      <c r="D368" s="13" t="s">
        <v>59</v>
      </c>
      <c r="E368" s="13" t="s">
        <v>60</v>
      </c>
      <c r="F368" s="12" t="n">
        <v>68</v>
      </c>
      <c r="G368" s="14" t="n">
        <v>1000</v>
      </c>
      <c r="H368" s="14" t="n">
        <v>68000</v>
      </c>
      <c r="I368" s="15" t="n">
        <v>15</v>
      </c>
      <c r="J368" s="16" t="n">
        <f aca="false">H368*(1-I368/100)</f>
        <v>57800</v>
      </c>
      <c r="K368" s="12" t="n">
        <v>9</v>
      </c>
      <c r="L368" s="12" t="s">
        <v>74</v>
      </c>
      <c r="M368" s="12" t="s">
        <v>61</v>
      </c>
    </row>
    <row r="369" customFormat="false" ht="15" hidden="false" customHeight="true" outlineLevel="0" collapsed="false">
      <c r="A369" s="17" t="s">
        <v>464</v>
      </c>
      <c r="B369" s="18" t="s">
        <v>52</v>
      </c>
      <c r="C369" s="17" t="s">
        <v>46</v>
      </c>
      <c r="D369" s="18" t="s">
        <v>47</v>
      </c>
      <c r="E369" s="18" t="s">
        <v>48</v>
      </c>
      <c r="F369" s="17" t="n">
        <v>289</v>
      </c>
      <c r="G369" s="19" t="n">
        <v>750</v>
      </c>
      <c r="H369" s="19" t="n">
        <v>216750</v>
      </c>
      <c r="I369" s="20" t="n">
        <v>8</v>
      </c>
      <c r="J369" s="21" t="n">
        <f aca="false">H369*(1-I369/100)</f>
        <v>199410</v>
      </c>
      <c r="K369" s="17" t="n">
        <v>2</v>
      </c>
      <c r="L369" s="17" t="s">
        <v>66</v>
      </c>
      <c r="M369" s="17" t="s">
        <v>50</v>
      </c>
    </row>
    <row r="370" customFormat="false" ht="15" hidden="false" customHeight="true" outlineLevel="0" collapsed="false">
      <c r="A370" s="12" t="s">
        <v>465</v>
      </c>
      <c r="B370" s="13" t="s">
        <v>141</v>
      </c>
      <c r="C370" s="12" t="s">
        <v>46</v>
      </c>
      <c r="D370" s="13" t="s">
        <v>107</v>
      </c>
      <c r="E370" s="13" t="s">
        <v>135</v>
      </c>
      <c r="F370" s="12" t="n">
        <v>188</v>
      </c>
      <c r="G370" s="14" t="n">
        <v>350</v>
      </c>
      <c r="H370" s="14" t="n">
        <v>65800</v>
      </c>
      <c r="I370" s="15" t="n">
        <v>8</v>
      </c>
      <c r="J370" s="16" t="n">
        <f aca="false">H370*(1-I370/100)</f>
        <v>60536</v>
      </c>
      <c r="K370" s="12" t="n">
        <v>2</v>
      </c>
      <c r="L370" s="12" t="s">
        <v>66</v>
      </c>
      <c r="M370" s="12" t="s">
        <v>50</v>
      </c>
    </row>
    <row r="371" customFormat="false" ht="15" hidden="false" customHeight="true" outlineLevel="0" collapsed="false">
      <c r="A371" s="17" t="s">
        <v>466</v>
      </c>
      <c r="B371" s="18" t="s">
        <v>87</v>
      </c>
      <c r="C371" s="17" t="s">
        <v>58</v>
      </c>
      <c r="D371" s="18" t="s">
        <v>47</v>
      </c>
      <c r="E371" s="18" t="s">
        <v>48</v>
      </c>
      <c r="F371" s="17" t="n">
        <v>450</v>
      </c>
      <c r="G371" s="19" t="n">
        <v>2000</v>
      </c>
      <c r="H371" s="19" t="n">
        <v>900000</v>
      </c>
      <c r="I371" s="20" t="n">
        <v>2</v>
      </c>
      <c r="J371" s="21" t="n">
        <f aca="false">H371*(1-I371/100)</f>
        <v>882000</v>
      </c>
      <c r="K371" s="17" t="n">
        <v>10</v>
      </c>
      <c r="L371" s="17" t="s">
        <v>49</v>
      </c>
      <c r="M371" s="17" t="s">
        <v>50</v>
      </c>
    </row>
    <row r="372" customFormat="false" ht="15" hidden="false" customHeight="true" outlineLevel="0" collapsed="false">
      <c r="A372" s="12" t="s">
        <v>467</v>
      </c>
      <c r="B372" s="13" t="s">
        <v>87</v>
      </c>
      <c r="C372" s="12" t="s">
        <v>79</v>
      </c>
      <c r="D372" s="13" t="s">
        <v>59</v>
      </c>
      <c r="E372" s="13" t="s">
        <v>60</v>
      </c>
      <c r="F372" s="12" t="n">
        <v>189</v>
      </c>
      <c r="G372" s="14" t="n">
        <v>5000</v>
      </c>
      <c r="H372" s="14" t="n">
        <v>945000</v>
      </c>
      <c r="I372" s="15" t="n">
        <v>5</v>
      </c>
      <c r="J372" s="16" t="n">
        <f aca="false">H372*(1-I372/100)</f>
        <v>897750</v>
      </c>
      <c r="K372" s="12" t="n">
        <v>10</v>
      </c>
      <c r="L372" s="12" t="s">
        <v>49</v>
      </c>
      <c r="M372" s="12" t="s">
        <v>50</v>
      </c>
    </row>
    <row r="373" customFormat="false" ht="15" hidden="false" customHeight="true" outlineLevel="0" collapsed="false">
      <c r="A373" s="17" t="s">
        <v>468</v>
      </c>
      <c r="B373" s="18" t="s">
        <v>68</v>
      </c>
      <c r="C373" s="17" t="s">
        <v>81</v>
      </c>
      <c r="D373" s="18" t="s">
        <v>95</v>
      </c>
      <c r="E373" s="18" t="s">
        <v>139</v>
      </c>
      <c r="F373" s="17" t="n">
        <v>146</v>
      </c>
      <c r="G373" s="19" t="n">
        <v>5000</v>
      </c>
      <c r="H373" s="19" t="n">
        <v>730000</v>
      </c>
      <c r="I373" s="20" t="n">
        <v>12</v>
      </c>
      <c r="J373" s="21" t="n">
        <f aca="false">H373*(1-I373/100)</f>
        <v>642400</v>
      </c>
      <c r="K373" s="17" t="n">
        <v>2</v>
      </c>
      <c r="L373" s="17" t="s">
        <v>66</v>
      </c>
      <c r="M373" s="17" t="s">
        <v>50</v>
      </c>
    </row>
    <row r="374" customFormat="false" ht="15" hidden="false" customHeight="true" outlineLevel="0" collapsed="false">
      <c r="A374" s="12" t="s">
        <v>469</v>
      </c>
      <c r="B374" s="13" t="s">
        <v>144</v>
      </c>
      <c r="C374" s="12" t="s">
        <v>46</v>
      </c>
      <c r="D374" s="13" t="s">
        <v>95</v>
      </c>
      <c r="E374" s="13" t="s">
        <v>139</v>
      </c>
      <c r="F374" s="12" t="n">
        <v>74</v>
      </c>
      <c r="G374" s="14" t="n">
        <v>500</v>
      </c>
      <c r="H374" s="14" t="n">
        <v>37000</v>
      </c>
      <c r="I374" s="15" t="n">
        <v>2</v>
      </c>
      <c r="J374" s="16" t="n">
        <f aca="false">H374*(1-I374/100)</f>
        <v>36260</v>
      </c>
      <c r="K374" s="12" t="n">
        <v>3</v>
      </c>
      <c r="L374" s="12" t="s">
        <v>66</v>
      </c>
      <c r="M374" s="12" t="s">
        <v>61</v>
      </c>
    </row>
    <row r="375" customFormat="false" ht="15" hidden="false" customHeight="true" outlineLevel="0" collapsed="false">
      <c r="A375" s="17" t="s">
        <v>470</v>
      </c>
      <c r="B375" s="18" t="s">
        <v>111</v>
      </c>
      <c r="C375" s="17" t="s">
        <v>72</v>
      </c>
      <c r="D375" s="18" t="s">
        <v>107</v>
      </c>
      <c r="E375" s="18" t="s">
        <v>108</v>
      </c>
      <c r="F375" s="17" t="n">
        <v>305</v>
      </c>
      <c r="G375" s="19" t="n">
        <v>1000</v>
      </c>
      <c r="H375" s="19" t="n">
        <v>305000</v>
      </c>
      <c r="I375" s="20" t="n">
        <v>12</v>
      </c>
      <c r="J375" s="21" t="n">
        <f aca="false">H375*(1-I375/100)</f>
        <v>268400</v>
      </c>
      <c r="K375" s="17" t="n">
        <v>7</v>
      </c>
      <c r="L375" s="17" t="s">
        <v>74</v>
      </c>
      <c r="M375" s="17" t="s">
        <v>61</v>
      </c>
    </row>
    <row r="376" customFormat="false" ht="15" hidden="false" customHeight="true" outlineLevel="0" collapsed="false">
      <c r="A376" s="12" t="s">
        <v>471</v>
      </c>
      <c r="B376" s="13" t="s">
        <v>106</v>
      </c>
      <c r="C376" s="12" t="s">
        <v>46</v>
      </c>
      <c r="D376" s="13" t="s">
        <v>47</v>
      </c>
      <c r="E376" s="13" t="s">
        <v>146</v>
      </c>
      <c r="F376" s="12" t="n">
        <v>216</v>
      </c>
      <c r="G376" s="14" t="n">
        <v>5000</v>
      </c>
      <c r="H376" s="14" t="n">
        <v>1080000</v>
      </c>
      <c r="I376" s="15" t="n">
        <v>12</v>
      </c>
      <c r="J376" s="16" t="n">
        <f aca="false">H376*(1-I376/100)</f>
        <v>950400</v>
      </c>
      <c r="K376" s="12" t="n">
        <v>5</v>
      </c>
      <c r="L376" s="12" t="s">
        <v>55</v>
      </c>
      <c r="M376" s="12" t="s">
        <v>61</v>
      </c>
    </row>
    <row r="377" customFormat="false" ht="15" hidden="false" customHeight="true" outlineLevel="0" collapsed="false">
      <c r="A377" s="17" t="s">
        <v>472</v>
      </c>
      <c r="B377" s="18" t="s">
        <v>106</v>
      </c>
      <c r="C377" s="17" t="s">
        <v>72</v>
      </c>
      <c r="D377" s="18" t="s">
        <v>95</v>
      </c>
      <c r="E377" s="18" t="s">
        <v>139</v>
      </c>
      <c r="F377" s="17" t="n">
        <v>11</v>
      </c>
      <c r="G377" s="19" t="n">
        <v>350</v>
      </c>
      <c r="H377" s="19" t="n">
        <v>3850</v>
      </c>
      <c r="I377" s="20" t="n">
        <v>12</v>
      </c>
      <c r="J377" s="21" t="n">
        <f aca="false">H377*(1-I377/100)</f>
        <v>3388</v>
      </c>
      <c r="K377" s="17" t="n">
        <v>8</v>
      </c>
      <c r="L377" s="17" t="s">
        <v>74</v>
      </c>
      <c r="M377" s="17" t="s">
        <v>61</v>
      </c>
    </row>
    <row r="378" customFormat="false" ht="15" hidden="false" customHeight="true" outlineLevel="0" collapsed="false">
      <c r="A378" s="12" t="s">
        <v>473</v>
      </c>
      <c r="B378" s="13" t="s">
        <v>78</v>
      </c>
      <c r="C378" s="12" t="s">
        <v>58</v>
      </c>
      <c r="D378" s="13" t="s">
        <v>107</v>
      </c>
      <c r="E378" s="13" t="s">
        <v>108</v>
      </c>
      <c r="F378" s="12" t="n">
        <v>229</v>
      </c>
      <c r="G378" s="14" t="n">
        <v>750</v>
      </c>
      <c r="H378" s="14" t="n">
        <v>171750</v>
      </c>
      <c r="I378" s="15" t="n">
        <v>8</v>
      </c>
      <c r="J378" s="16" t="n">
        <f aca="false">H378*(1-I378/100)</f>
        <v>158010</v>
      </c>
      <c r="K378" s="12" t="n">
        <v>5</v>
      </c>
      <c r="L378" s="12" t="s">
        <v>55</v>
      </c>
      <c r="M378" s="12" t="s">
        <v>61</v>
      </c>
    </row>
    <row r="379" customFormat="false" ht="15" hidden="false" customHeight="true" outlineLevel="0" collapsed="false">
      <c r="A379" s="17" t="s">
        <v>474</v>
      </c>
      <c r="B379" s="18" t="s">
        <v>141</v>
      </c>
      <c r="C379" s="17" t="s">
        <v>81</v>
      </c>
      <c r="D379" s="18" t="s">
        <v>53</v>
      </c>
      <c r="E379" s="18" t="s">
        <v>129</v>
      </c>
      <c r="F379" s="17" t="n">
        <v>76</v>
      </c>
      <c r="G379" s="19" t="n">
        <v>3000</v>
      </c>
      <c r="H379" s="19" t="n">
        <v>228000</v>
      </c>
      <c r="I379" s="20" t="n">
        <v>15</v>
      </c>
      <c r="J379" s="21" t="n">
        <f aca="false">H379*(1-I379/100)</f>
        <v>193800</v>
      </c>
      <c r="K379" s="17" t="n">
        <v>6</v>
      </c>
      <c r="L379" s="17" t="s">
        <v>55</v>
      </c>
      <c r="M379" s="17" t="s">
        <v>50</v>
      </c>
    </row>
    <row r="380" customFormat="false" ht="15" hidden="false" customHeight="true" outlineLevel="0" collapsed="false">
      <c r="A380" s="12" t="s">
        <v>475</v>
      </c>
      <c r="B380" s="13" t="s">
        <v>71</v>
      </c>
      <c r="C380" s="12" t="s">
        <v>46</v>
      </c>
      <c r="D380" s="13" t="s">
        <v>47</v>
      </c>
      <c r="E380" s="13" t="s">
        <v>48</v>
      </c>
      <c r="F380" s="12" t="n">
        <v>18</v>
      </c>
      <c r="G380" s="14" t="n">
        <v>350</v>
      </c>
      <c r="H380" s="14" t="n">
        <v>6300</v>
      </c>
      <c r="I380" s="15" t="n">
        <v>15</v>
      </c>
      <c r="J380" s="16" t="n">
        <f aca="false">H380*(1-I380/100)</f>
        <v>5355</v>
      </c>
      <c r="K380" s="12" t="n">
        <v>3</v>
      </c>
      <c r="L380" s="12" t="s">
        <v>66</v>
      </c>
      <c r="M380" s="12" t="s">
        <v>61</v>
      </c>
    </row>
    <row r="381" customFormat="false" ht="15" hidden="false" customHeight="true" outlineLevel="0" collapsed="false">
      <c r="A381" s="17" t="s">
        <v>476</v>
      </c>
      <c r="B381" s="18" t="s">
        <v>106</v>
      </c>
      <c r="C381" s="17" t="s">
        <v>46</v>
      </c>
      <c r="D381" s="18" t="s">
        <v>107</v>
      </c>
      <c r="E381" s="18" t="s">
        <v>108</v>
      </c>
      <c r="F381" s="17" t="n">
        <v>362</v>
      </c>
      <c r="G381" s="19" t="n">
        <v>500</v>
      </c>
      <c r="H381" s="19" t="n">
        <v>181000</v>
      </c>
      <c r="I381" s="20" t="n">
        <v>12</v>
      </c>
      <c r="J381" s="21" t="n">
        <f aca="false">H381*(1-I381/100)</f>
        <v>159280</v>
      </c>
      <c r="K381" s="17" t="n">
        <v>5</v>
      </c>
      <c r="L381" s="17" t="s">
        <v>55</v>
      </c>
      <c r="M381" s="17" t="s">
        <v>50</v>
      </c>
    </row>
    <row r="382" customFormat="false" ht="15" hidden="false" customHeight="true" outlineLevel="0" collapsed="false">
      <c r="A382" s="12" t="s">
        <v>477</v>
      </c>
      <c r="B382" s="13" t="s">
        <v>63</v>
      </c>
      <c r="C382" s="12" t="s">
        <v>46</v>
      </c>
      <c r="D382" s="13" t="s">
        <v>47</v>
      </c>
      <c r="E382" s="13" t="s">
        <v>48</v>
      </c>
      <c r="F382" s="12" t="n">
        <v>138</v>
      </c>
      <c r="G382" s="14" t="n">
        <v>350</v>
      </c>
      <c r="H382" s="14" t="n">
        <v>48300</v>
      </c>
      <c r="I382" s="15" t="n">
        <v>5</v>
      </c>
      <c r="J382" s="16" t="n">
        <f aca="false">H382*(1-I382/100)</f>
        <v>45885</v>
      </c>
      <c r="K382" s="12" t="n">
        <v>11</v>
      </c>
      <c r="L382" s="12" t="s">
        <v>49</v>
      </c>
      <c r="M382" s="12" t="s">
        <v>50</v>
      </c>
    </row>
    <row r="383" customFormat="false" ht="15" hidden="false" customHeight="true" outlineLevel="0" collapsed="false">
      <c r="A383" s="17" t="s">
        <v>478</v>
      </c>
      <c r="B383" s="18" t="s">
        <v>71</v>
      </c>
      <c r="C383" s="17" t="s">
        <v>72</v>
      </c>
      <c r="D383" s="18" t="s">
        <v>47</v>
      </c>
      <c r="E383" s="18" t="s">
        <v>48</v>
      </c>
      <c r="F383" s="17" t="n">
        <v>381</v>
      </c>
      <c r="G383" s="19" t="n">
        <v>750</v>
      </c>
      <c r="H383" s="19" t="n">
        <v>285750</v>
      </c>
      <c r="I383" s="20" t="n">
        <v>8</v>
      </c>
      <c r="J383" s="21" t="n">
        <f aca="false">H383*(1-I383/100)</f>
        <v>262890</v>
      </c>
      <c r="K383" s="17" t="n">
        <v>11</v>
      </c>
      <c r="L383" s="17" t="s">
        <v>49</v>
      </c>
      <c r="M383" s="17" t="s">
        <v>50</v>
      </c>
    </row>
    <row r="384" customFormat="false" ht="15" hidden="false" customHeight="true" outlineLevel="0" collapsed="false">
      <c r="A384" s="12" t="s">
        <v>479</v>
      </c>
      <c r="B384" s="13" t="s">
        <v>45</v>
      </c>
      <c r="C384" s="12" t="s">
        <v>46</v>
      </c>
      <c r="D384" s="13" t="s">
        <v>64</v>
      </c>
      <c r="E384" s="13" t="s">
        <v>83</v>
      </c>
      <c r="F384" s="12" t="n">
        <v>49</v>
      </c>
      <c r="G384" s="14" t="n">
        <v>500</v>
      </c>
      <c r="H384" s="14" t="n">
        <v>24500</v>
      </c>
      <c r="I384" s="15" t="n">
        <v>10</v>
      </c>
      <c r="J384" s="16" t="n">
        <f aca="false">H384*(1-I384/100)</f>
        <v>22050</v>
      </c>
      <c r="K384" s="12" t="n">
        <v>4</v>
      </c>
      <c r="L384" s="12" t="s">
        <v>55</v>
      </c>
      <c r="M384" s="12" t="s">
        <v>61</v>
      </c>
    </row>
    <row r="385" customFormat="false" ht="15" hidden="false" customHeight="true" outlineLevel="0" collapsed="false">
      <c r="A385" s="17" t="s">
        <v>480</v>
      </c>
      <c r="B385" s="18" t="s">
        <v>128</v>
      </c>
      <c r="C385" s="17" t="s">
        <v>46</v>
      </c>
      <c r="D385" s="18" t="s">
        <v>47</v>
      </c>
      <c r="E385" s="18" t="s">
        <v>48</v>
      </c>
      <c r="F385" s="17" t="n">
        <v>428</v>
      </c>
      <c r="G385" s="19" t="n">
        <v>350</v>
      </c>
      <c r="H385" s="19" t="n">
        <v>149800</v>
      </c>
      <c r="I385" s="20" t="n">
        <v>15</v>
      </c>
      <c r="J385" s="21" t="n">
        <f aca="false">H385*(1-I385/100)</f>
        <v>127330</v>
      </c>
      <c r="K385" s="17" t="n">
        <v>7</v>
      </c>
      <c r="L385" s="17" t="s">
        <v>74</v>
      </c>
      <c r="M385" s="17" t="s">
        <v>50</v>
      </c>
    </row>
    <row r="386" customFormat="false" ht="15" hidden="false" customHeight="true" outlineLevel="0" collapsed="false">
      <c r="A386" s="12" t="s">
        <v>481</v>
      </c>
      <c r="B386" s="13" t="s">
        <v>100</v>
      </c>
      <c r="C386" s="12" t="s">
        <v>46</v>
      </c>
      <c r="D386" s="13" t="s">
        <v>64</v>
      </c>
      <c r="E386" s="13" t="s">
        <v>83</v>
      </c>
      <c r="F386" s="12" t="n">
        <v>55</v>
      </c>
      <c r="G386" s="14" t="n">
        <v>350</v>
      </c>
      <c r="H386" s="14" t="n">
        <v>19250</v>
      </c>
      <c r="I386" s="15" t="n">
        <v>0</v>
      </c>
      <c r="J386" s="16" t="n">
        <f aca="false">H386*(1-I386/100)</f>
        <v>19250</v>
      </c>
      <c r="K386" s="12" t="n">
        <v>6</v>
      </c>
      <c r="L386" s="12" t="s">
        <v>55</v>
      </c>
      <c r="M386" s="12" t="s">
        <v>61</v>
      </c>
    </row>
    <row r="387" customFormat="false" ht="15" hidden="false" customHeight="true" outlineLevel="0" collapsed="false">
      <c r="A387" s="17" t="s">
        <v>482</v>
      </c>
      <c r="B387" s="18" t="s">
        <v>141</v>
      </c>
      <c r="C387" s="17" t="s">
        <v>79</v>
      </c>
      <c r="D387" s="18" t="s">
        <v>107</v>
      </c>
      <c r="E387" s="18" t="s">
        <v>108</v>
      </c>
      <c r="F387" s="17" t="n">
        <v>338</v>
      </c>
      <c r="G387" s="19" t="n">
        <v>500</v>
      </c>
      <c r="H387" s="19" t="n">
        <v>169000</v>
      </c>
      <c r="I387" s="20" t="n">
        <v>0</v>
      </c>
      <c r="J387" s="21" t="n">
        <f aca="false">H387*(1-I387/100)</f>
        <v>169000</v>
      </c>
      <c r="K387" s="17" t="n">
        <v>9</v>
      </c>
      <c r="L387" s="17" t="s">
        <v>74</v>
      </c>
      <c r="M387" s="17" t="s">
        <v>50</v>
      </c>
    </row>
    <row r="388" customFormat="false" ht="15" hidden="false" customHeight="true" outlineLevel="0" collapsed="false">
      <c r="A388" s="12" t="s">
        <v>483</v>
      </c>
      <c r="B388" s="13" t="s">
        <v>120</v>
      </c>
      <c r="C388" s="12" t="s">
        <v>72</v>
      </c>
      <c r="D388" s="13" t="s">
        <v>95</v>
      </c>
      <c r="E388" s="13" t="s">
        <v>139</v>
      </c>
      <c r="F388" s="12" t="n">
        <v>119</v>
      </c>
      <c r="G388" s="14" t="n">
        <v>500</v>
      </c>
      <c r="H388" s="14" t="n">
        <v>59500</v>
      </c>
      <c r="I388" s="15" t="n">
        <v>8</v>
      </c>
      <c r="J388" s="16" t="n">
        <f aca="false">H388*(1-I388/100)</f>
        <v>54740</v>
      </c>
      <c r="K388" s="12" t="n">
        <v>10</v>
      </c>
      <c r="L388" s="12" t="s">
        <v>49</v>
      </c>
      <c r="M388" s="12" t="s">
        <v>61</v>
      </c>
    </row>
    <row r="389" customFormat="false" ht="15" hidden="false" customHeight="true" outlineLevel="0" collapsed="false">
      <c r="A389" s="17" t="s">
        <v>484</v>
      </c>
      <c r="B389" s="18" t="s">
        <v>87</v>
      </c>
      <c r="C389" s="17" t="s">
        <v>46</v>
      </c>
      <c r="D389" s="18" t="s">
        <v>59</v>
      </c>
      <c r="E389" s="18" t="s">
        <v>131</v>
      </c>
      <c r="F389" s="17" t="n">
        <v>395</v>
      </c>
      <c r="G389" s="19" t="n">
        <v>350</v>
      </c>
      <c r="H389" s="19" t="n">
        <v>138250</v>
      </c>
      <c r="I389" s="20" t="n">
        <v>10</v>
      </c>
      <c r="J389" s="21" t="n">
        <f aca="false">H389*(1-I389/100)</f>
        <v>124425</v>
      </c>
      <c r="K389" s="17" t="n">
        <v>12</v>
      </c>
      <c r="L389" s="17" t="s">
        <v>49</v>
      </c>
      <c r="M389" s="17" t="s">
        <v>61</v>
      </c>
    </row>
    <row r="390" customFormat="false" ht="15" hidden="false" customHeight="true" outlineLevel="0" collapsed="false">
      <c r="A390" s="12" t="s">
        <v>485</v>
      </c>
      <c r="B390" s="13" t="s">
        <v>76</v>
      </c>
      <c r="C390" s="12" t="s">
        <v>72</v>
      </c>
      <c r="D390" s="13" t="s">
        <v>95</v>
      </c>
      <c r="E390" s="13" t="s">
        <v>122</v>
      </c>
      <c r="F390" s="12" t="n">
        <v>136</v>
      </c>
      <c r="G390" s="14" t="n">
        <v>1000</v>
      </c>
      <c r="H390" s="14" t="n">
        <v>136000</v>
      </c>
      <c r="I390" s="15" t="n">
        <v>12</v>
      </c>
      <c r="J390" s="16" t="n">
        <f aca="false">H390*(1-I390/100)</f>
        <v>119680</v>
      </c>
      <c r="K390" s="12" t="n">
        <v>2</v>
      </c>
      <c r="L390" s="12" t="s">
        <v>66</v>
      </c>
      <c r="M390" s="12" t="s">
        <v>50</v>
      </c>
    </row>
    <row r="391" customFormat="false" ht="15" hidden="false" customHeight="true" outlineLevel="0" collapsed="false">
      <c r="A391" s="17" t="s">
        <v>486</v>
      </c>
      <c r="B391" s="18" t="s">
        <v>52</v>
      </c>
      <c r="C391" s="17" t="s">
        <v>58</v>
      </c>
      <c r="D391" s="18" t="s">
        <v>53</v>
      </c>
      <c r="E391" s="18" t="s">
        <v>129</v>
      </c>
      <c r="F391" s="17" t="n">
        <v>321</v>
      </c>
      <c r="G391" s="19" t="n">
        <v>1000</v>
      </c>
      <c r="H391" s="19" t="n">
        <v>321000</v>
      </c>
      <c r="I391" s="20" t="n">
        <v>15</v>
      </c>
      <c r="J391" s="21" t="n">
        <f aca="false">H391*(1-I391/100)</f>
        <v>272850</v>
      </c>
      <c r="K391" s="17" t="n">
        <v>12</v>
      </c>
      <c r="L391" s="17" t="s">
        <v>49</v>
      </c>
      <c r="M391" s="17" t="s">
        <v>50</v>
      </c>
    </row>
    <row r="392" customFormat="false" ht="15" hidden="false" customHeight="true" outlineLevel="0" collapsed="false">
      <c r="A392" s="12" t="s">
        <v>487</v>
      </c>
      <c r="B392" s="13" t="s">
        <v>141</v>
      </c>
      <c r="C392" s="12" t="s">
        <v>79</v>
      </c>
      <c r="D392" s="13" t="s">
        <v>53</v>
      </c>
      <c r="E392" s="13" t="s">
        <v>129</v>
      </c>
      <c r="F392" s="12" t="n">
        <v>270</v>
      </c>
      <c r="G392" s="14" t="n">
        <v>750</v>
      </c>
      <c r="H392" s="14" t="n">
        <v>202500</v>
      </c>
      <c r="I392" s="15" t="n">
        <v>12</v>
      </c>
      <c r="J392" s="16" t="n">
        <f aca="false">H392*(1-I392/100)</f>
        <v>178200</v>
      </c>
      <c r="K392" s="12" t="n">
        <v>7</v>
      </c>
      <c r="L392" s="12" t="s">
        <v>74</v>
      </c>
      <c r="M392" s="12" t="s">
        <v>61</v>
      </c>
    </row>
    <row r="393" customFormat="false" ht="15" hidden="false" customHeight="true" outlineLevel="0" collapsed="false">
      <c r="A393" s="17" t="s">
        <v>488</v>
      </c>
      <c r="B393" s="18" t="s">
        <v>71</v>
      </c>
      <c r="C393" s="17" t="s">
        <v>79</v>
      </c>
      <c r="D393" s="18" t="s">
        <v>107</v>
      </c>
      <c r="E393" s="18" t="s">
        <v>135</v>
      </c>
      <c r="F393" s="17" t="n">
        <v>67</v>
      </c>
      <c r="G393" s="19" t="n">
        <v>750</v>
      </c>
      <c r="H393" s="19" t="n">
        <v>50250</v>
      </c>
      <c r="I393" s="20" t="n">
        <v>8</v>
      </c>
      <c r="J393" s="21" t="n">
        <f aca="false">H393*(1-I393/100)</f>
        <v>46230</v>
      </c>
      <c r="K393" s="17" t="n">
        <v>11</v>
      </c>
      <c r="L393" s="17" t="s">
        <v>49</v>
      </c>
      <c r="M393" s="17" t="s">
        <v>50</v>
      </c>
    </row>
    <row r="394" customFormat="false" ht="15" hidden="false" customHeight="true" outlineLevel="0" collapsed="false">
      <c r="A394" s="12" t="s">
        <v>489</v>
      </c>
      <c r="B394" s="13" t="s">
        <v>57</v>
      </c>
      <c r="C394" s="12" t="s">
        <v>46</v>
      </c>
      <c r="D394" s="13" t="s">
        <v>95</v>
      </c>
      <c r="E394" s="13" t="s">
        <v>96</v>
      </c>
      <c r="F394" s="12" t="n">
        <v>77</v>
      </c>
      <c r="G394" s="14" t="n">
        <v>2000</v>
      </c>
      <c r="H394" s="14" t="n">
        <v>154000</v>
      </c>
      <c r="I394" s="15" t="n">
        <v>15</v>
      </c>
      <c r="J394" s="16" t="n">
        <f aca="false">H394*(1-I394/100)</f>
        <v>130900</v>
      </c>
      <c r="K394" s="12" t="n">
        <v>10</v>
      </c>
      <c r="L394" s="12" t="s">
        <v>49</v>
      </c>
      <c r="M394" s="12" t="s">
        <v>61</v>
      </c>
    </row>
    <row r="395" customFormat="false" ht="15" hidden="false" customHeight="true" outlineLevel="0" collapsed="false">
      <c r="A395" s="17" t="s">
        <v>490</v>
      </c>
      <c r="B395" s="18" t="s">
        <v>76</v>
      </c>
      <c r="C395" s="17" t="s">
        <v>58</v>
      </c>
      <c r="D395" s="18" t="s">
        <v>47</v>
      </c>
      <c r="E395" s="18" t="s">
        <v>146</v>
      </c>
      <c r="F395" s="17" t="n">
        <v>400</v>
      </c>
      <c r="G395" s="19" t="n">
        <v>3000</v>
      </c>
      <c r="H395" s="19" t="n">
        <v>1200000</v>
      </c>
      <c r="I395" s="20" t="n">
        <v>15</v>
      </c>
      <c r="J395" s="21" t="n">
        <f aca="false">H395*(1-I395/100)</f>
        <v>1020000</v>
      </c>
      <c r="K395" s="17" t="n">
        <v>2</v>
      </c>
      <c r="L395" s="17" t="s">
        <v>66</v>
      </c>
      <c r="M395" s="17" t="s">
        <v>50</v>
      </c>
    </row>
    <row r="396" customFormat="false" ht="15" hidden="false" customHeight="true" outlineLevel="0" collapsed="false">
      <c r="A396" s="12" t="s">
        <v>491</v>
      </c>
      <c r="B396" s="13" t="s">
        <v>78</v>
      </c>
      <c r="C396" s="12" t="s">
        <v>46</v>
      </c>
      <c r="D396" s="13" t="s">
        <v>95</v>
      </c>
      <c r="E396" s="13" t="s">
        <v>122</v>
      </c>
      <c r="F396" s="12" t="n">
        <v>30</v>
      </c>
      <c r="G396" s="14" t="n">
        <v>250</v>
      </c>
      <c r="H396" s="14" t="n">
        <v>7500</v>
      </c>
      <c r="I396" s="15" t="n">
        <v>15</v>
      </c>
      <c r="J396" s="16" t="n">
        <f aca="false">H396*(1-I396/100)</f>
        <v>6375</v>
      </c>
      <c r="K396" s="12" t="n">
        <v>7</v>
      </c>
      <c r="L396" s="12" t="s">
        <v>74</v>
      </c>
      <c r="M396" s="12" t="s">
        <v>61</v>
      </c>
    </row>
    <row r="397" customFormat="false" ht="15" hidden="false" customHeight="true" outlineLevel="0" collapsed="false">
      <c r="A397" s="17" t="s">
        <v>492</v>
      </c>
      <c r="B397" s="18" t="s">
        <v>57</v>
      </c>
      <c r="C397" s="17" t="s">
        <v>72</v>
      </c>
      <c r="D397" s="18" t="s">
        <v>107</v>
      </c>
      <c r="E397" s="18" t="s">
        <v>117</v>
      </c>
      <c r="F397" s="17" t="n">
        <v>215</v>
      </c>
      <c r="G397" s="19" t="n">
        <v>350</v>
      </c>
      <c r="H397" s="19" t="n">
        <v>75250</v>
      </c>
      <c r="I397" s="20" t="n">
        <v>12</v>
      </c>
      <c r="J397" s="21" t="n">
        <f aca="false">H397*(1-I397/100)</f>
        <v>66220</v>
      </c>
      <c r="K397" s="17" t="n">
        <v>9</v>
      </c>
      <c r="L397" s="17" t="s">
        <v>74</v>
      </c>
      <c r="M397" s="17" t="s">
        <v>50</v>
      </c>
    </row>
    <row r="398" customFormat="false" ht="15" hidden="false" customHeight="true" outlineLevel="0" collapsed="false">
      <c r="A398" s="12" t="s">
        <v>493</v>
      </c>
      <c r="B398" s="13" t="s">
        <v>63</v>
      </c>
      <c r="C398" s="12" t="s">
        <v>46</v>
      </c>
      <c r="D398" s="13" t="s">
        <v>95</v>
      </c>
      <c r="E398" s="13" t="s">
        <v>122</v>
      </c>
      <c r="F398" s="12" t="n">
        <v>271</v>
      </c>
      <c r="G398" s="14" t="n">
        <v>750</v>
      </c>
      <c r="H398" s="14" t="n">
        <v>203250</v>
      </c>
      <c r="I398" s="15" t="n">
        <v>15</v>
      </c>
      <c r="J398" s="16" t="n">
        <f aca="false">H398*(1-I398/100)</f>
        <v>172762.5</v>
      </c>
      <c r="K398" s="12" t="n">
        <v>3</v>
      </c>
      <c r="L398" s="12" t="s">
        <v>66</v>
      </c>
      <c r="M398" s="12" t="s">
        <v>61</v>
      </c>
    </row>
    <row r="399" customFormat="false" ht="15" hidden="false" customHeight="true" outlineLevel="0" collapsed="false">
      <c r="A399" s="17" t="s">
        <v>494</v>
      </c>
      <c r="B399" s="18" t="s">
        <v>91</v>
      </c>
      <c r="C399" s="17" t="s">
        <v>58</v>
      </c>
      <c r="D399" s="18" t="s">
        <v>47</v>
      </c>
      <c r="E399" s="18" t="s">
        <v>104</v>
      </c>
      <c r="F399" s="17" t="n">
        <v>358</v>
      </c>
      <c r="G399" s="19" t="n">
        <v>350</v>
      </c>
      <c r="H399" s="19" t="n">
        <v>125300</v>
      </c>
      <c r="I399" s="20" t="n">
        <v>5</v>
      </c>
      <c r="J399" s="21" t="n">
        <f aca="false">H399*(1-I399/100)</f>
        <v>119035</v>
      </c>
      <c r="K399" s="17" t="n">
        <v>12</v>
      </c>
      <c r="L399" s="17" t="s">
        <v>49</v>
      </c>
      <c r="M399" s="17" t="s">
        <v>61</v>
      </c>
    </row>
    <row r="400" customFormat="false" ht="15" hidden="false" customHeight="true" outlineLevel="0" collapsed="false">
      <c r="A400" s="12" t="s">
        <v>495</v>
      </c>
      <c r="B400" s="13" t="s">
        <v>111</v>
      </c>
      <c r="C400" s="12" t="s">
        <v>46</v>
      </c>
      <c r="D400" s="13" t="s">
        <v>64</v>
      </c>
      <c r="E400" s="13" t="s">
        <v>85</v>
      </c>
      <c r="F400" s="12" t="n">
        <v>483</v>
      </c>
      <c r="G400" s="14" t="n">
        <v>2000</v>
      </c>
      <c r="H400" s="14" t="n">
        <v>966000</v>
      </c>
      <c r="I400" s="15" t="n">
        <v>0</v>
      </c>
      <c r="J400" s="16" t="n">
        <f aca="false">H400*(1-I400/100)</f>
        <v>966000</v>
      </c>
      <c r="K400" s="12" t="n">
        <v>8</v>
      </c>
      <c r="L400" s="12" t="s">
        <v>74</v>
      </c>
      <c r="M400" s="12" t="s">
        <v>50</v>
      </c>
    </row>
    <row r="401" customFormat="false" ht="15" hidden="false" customHeight="true" outlineLevel="0" collapsed="false">
      <c r="A401" s="17" t="s">
        <v>496</v>
      </c>
      <c r="B401" s="18" t="s">
        <v>141</v>
      </c>
      <c r="C401" s="17" t="s">
        <v>79</v>
      </c>
      <c r="D401" s="18" t="s">
        <v>59</v>
      </c>
      <c r="E401" s="18" t="s">
        <v>131</v>
      </c>
      <c r="F401" s="17" t="n">
        <v>372</v>
      </c>
      <c r="G401" s="19" t="n">
        <v>500</v>
      </c>
      <c r="H401" s="19" t="n">
        <v>186000</v>
      </c>
      <c r="I401" s="20" t="n">
        <v>12</v>
      </c>
      <c r="J401" s="21" t="n">
        <f aca="false">H401*(1-I401/100)</f>
        <v>163680</v>
      </c>
      <c r="K401" s="17" t="n">
        <v>1</v>
      </c>
      <c r="L401" s="17" t="s">
        <v>66</v>
      </c>
      <c r="M401" s="17" t="s">
        <v>50</v>
      </c>
    </row>
    <row r="402" customFormat="false" ht="15" hidden="false" customHeight="true" outlineLevel="0" collapsed="false">
      <c r="A402" s="12" t="s">
        <v>497</v>
      </c>
      <c r="B402" s="13" t="s">
        <v>100</v>
      </c>
      <c r="C402" s="12" t="s">
        <v>81</v>
      </c>
      <c r="D402" s="13" t="s">
        <v>53</v>
      </c>
      <c r="E402" s="13" t="s">
        <v>129</v>
      </c>
      <c r="F402" s="12" t="n">
        <v>410</v>
      </c>
      <c r="G402" s="14" t="n">
        <v>1000</v>
      </c>
      <c r="H402" s="14" t="n">
        <v>410000</v>
      </c>
      <c r="I402" s="15" t="n">
        <v>2</v>
      </c>
      <c r="J402" s="16" t="n">
        <f aca="false">H402*(1-I402/100)</f>
        <v>401800</v>
      </c>
      <c r="K402" s="12" t="n">
        <v>6</v>
      </c>
      <c r="L402" s="12" t="s">
        <v>55</v>
      </c>
      <c r="M402" s="12" t="s">
        <v>50</v>
      </c>
    </row>
    <row r="403" customFormat="false" ht="15" hidden="false" customHeight="true" outlineLevel="0" collapsed="false">
      <c r="A403" s="17" t="s">
        <v>498</v>
      </c>
      <c r="B403" s="18" t="s">
        <v>63</v>
      </c>
      <c r="C403" s="17" t="s">
        <v>46</v>
      </c>
      <c r="D403" s="18" t="s">
        <v>59</v>
      </c>
      <c r="E403" s="18" t="s">
        <v>69</v>
      </c>
      <c r="F403" s="17" t="n">
        <v>423</v>
      </c>
      <c r="G403" s="19" t="n">
        <v>2000</v>
      </c>
      <c r="H403" s="19" t="n">
        <v>846000</v>
      </c>
      <c r="I403" s="20" t="n">
        <v>5</v>
      </c>
      <c r="J403" s="21" t="n">
        <f aca="false">H403*(1-I403/100)</f>
        <v>803700</v>
      </c>
      <c r="K403" s="17" t="n">
        <v>9</v>
      </c>
      <c r="L403" s="17" t="s">
        <v>74</v>
      </c>
      <c r="M403" s="17" t="s">
        <v>50</v>
      </c>
    </row>
    <row r="404" customFormat="false" ht="15" hidden="false" customHeight="true" outlineLevel="0" collapsed="false">
      <c r="A404" s="12" t="s">
        <v>499</v>
      </c>
      <c r="B404" s="13" t="s">
        <v>63</v>
      </c>
      <c r="C404" s="12" t="s">
        <v>58</v>
      </c>
      <c r="D404" s="13" t="s">
        <v>47</v>
      </c>
      <c r="E404" s="13" t="s">
        <v>146</v>
      </c>
      <c r="F404" s="12" t="n">
        <v>264</v>
      </c>
      <c r="G404" s="14" t="n">
        <v>3000</v>
      </c>
      <c r="H404" s="14" t="n">
        <v>792000</v>
      </c>
      <c r="I404" s="15" t="n">
        <v>10</v>
      </c>
      <c r="J404" s="16" t="n">
        <f aca="false">H404*(1-I404/100)</f>
        <v>712800</v>
      </c>
      <c r="K404" s="12" t="n">
        <v>6</v>
      </c>
      <c r="L404" s="12" t="s">
        <v>55</v>
      </c>
      <c r="M404" s="12" t="s">
        <v>50</v>
      </c>
    </row>
    <row r="405" customFormat="false" ht="15" hidden="false" customHeight="true" outlineLevel="0" collapsed="false">
      <c r="A405" s="17" t="s">
        <v>500</v>
      </c>
      <c r="B405" s="18" t="s">
        <v>100</v>
      </c>
      <c r="C405" s="17" t="s">
        <v>58</v>
      </c>
      <c r="D405" s="18" t="s">
        <v>64</v>
      </c>
      <c r="E405" s="18" t="s">
        <v>83</v>
      </c>
      <c r="F405" s="17" t="n">
        <v>90</v>
      </c>
      <c r="G405" s="19" t="n">
        <v>1000</v>
      </c>
      <c r="H405" s="19" t="n">
        <v>90000</v>
      </c>
      <c r="I405" s="20" t="n">
        <v>15</v>
      </c>
      <c r="J405" s="21" t="n">
        <f aca="false">H405*(1-I405/100)</f>
        <v>76500</v>
      </c>
      <c r="K405" s="17" t="n">
        <v>2</v>
      </c>
      <c r="L405" s="17" t="s">
        <v>66</v>
      </c>
      <c r="M405" s="17" t="s">
        <v>50</v>
      </c>
    </row>
    <row r="406" customFormat="false" ht="15" hidden="false" customHeight="true" outlineLevel="0" collapsed="false">
      <c r="A406" s="12" t="s">
        <v>501</v>
      </c>
      <c r="B406" s="13" t="s">
        <v>111</v>
      </c>
      <c r="C406" s="12" t="s">
        <v>58</v>
      </c>
      <c r="D406" s="13" t="s">
        <v>59</v>
      </c>
      <c r="E406" s="13" t="s">
        <v>131</v>
      </c>
      <c r="F406" s="12" t="n">
        <v>449</v>
      </c>
      <c r="G406" s="14" t="n">
        <v>250</v>
      </c>
      <c r="H406" s="14" t="n">
        <v>112250</v>
      </c>
      <c r="I406" s="15" t="n">
        <v>2</v>
      </c>
      <c r="J406" s="16" t="n">
        <f aca="false">H406*(1-I406/100)</f>
        <v>110005</v>
      </c>
      <c r="K406" s="12" t="n">
        <v>1</v>
      </c>
      <c r="L406" s="12" t="s">
        <v>66</v>
      </c>
      <c r="M406" s="12" t="s">
        <v>61</v>
      </c>
    </row>
    <row r="407" customFormat="false" ht="15" hidden="false" customHeight="true" outlineLevel="0" collapsed="false">
      <c r="A407" s="17" t="s">
        <v>502</v>
      </c>
      <c r="B407" s="18" t="s">
        <v>76</v>
      </c>
      <c r="C407" s="17" t="s">
        <v>72</v>
      </c>
      <c r="D407" s="18" t="s">
        <v>64</v>
      </c>
      <c r="E407" s="18" t="s">
        <v>85</v>
      </c>
      <c r="F407" s="17" t="n">
        <v>486</v>
      </c>
      <c r="G407" s="19" t="n">
        <v>250</v>
      </c>
      <c r="H407" s="19" t="n">
        <v>121500</v>
      </c>
      <c r="I407" s="20" t="n">
        <v>10</v>
      </c>
      <c r="J407" s="21" t="n">
        <f aca="false">H407*(1-I407/100)</f>
        <v>109350</v>
      </c>
      <c r="K407" s="17" t="n">
        <v>12</v>
      </c>
      <c r="L407" s="17" t="s">
        <v>49</v>
      </c>
      <c r="M407" s="17" t="s">
        <v>61</v>
      </c>
    </row>
    <row r="408" customFormat="false" ht="15" hidden="false" customHeight="true" outlineLevel="0" collapsed="false">
      <c r="A408" s="12" t="s">
        <v>503</v>
      </c>
      <c r="B408" s="13" t="s">
        <v>111</v>
      </c>
      <c r="C408" s="12" t="s">
        <v>81</v>
      </c>
      <c r="D408" s="13" t="s">
        <v>64</v>
      </c>
      <c r="E408" s="13" t="s">
        <v>83</v>
      </c>
      <c r="F408" s="12" t="n">
        <v>478</v>
      </c>
      <c r="G408" s="14" t="n">
        <v>1500</v>
      </c>
      <c r="H408" s="14" t="n">
        <v>717000</v>
      </c>
      <c r="I408" s="15" t="n">
        <v>5</v>
      </c>
      <c r="J408" s="16" t="n">
        <f aca="false">H408*(1-I408/100)</f>
        <v>681150</v>
      </c>
      <c r="K408" s="12" t="n">
        <v>2</v>
      </c>
      <c r="L408" s="12" t="s">
        <v>66</v>
      </c>
      <c r="M408" s="12" t="s">
        <v>61</v>
      </c>
    </row>
    <row r="409" customFormat="false" ht="15" hidden="false" customHeight="true" outlineLevel="0" collapsed="false">
      <c r="A409" s="17" t="s">
        <v>504</v>
      </c>
      <c r="B409" s="18" t="s">
        <v>45</v>
      </c>
      <c r="C409" s="17" t="s">
        <v>58</v>
      </c>
      <c r="D409" s="18" t="s">
        <v>47</v>
      </c>
      <c r="E409" s="18" t="s">
        <v>146</v>
      </c>
      <c r="F409" s="17" t="n">
        <v>101</v>
      </c>
      <c r="G409" s="19" t="n">
        <v>750</v>
      </c>
      <c r="H409" s="19" t="n">
        <v>75750</v>
      </c>
      <c r="I409" s="20" t="n">
        <v>15</v>
      </c>
      <c r="J409" s="21" t="n">
        <f aca="false">H409*(1-I409/100)</f>
        <v>64387.5</v>
      </c>
      <c r="K409" s="17" t="n">
        <v>9</v>
      </c>
      <c r="L409" s="17" t="s">
        <v>74</v>
      </c>
      <c r="M409" s="17" t="s">
        <v>50</v>
      </c>
    </row>
    <row r="410" customFormat="false" ht="15" hidden="false" customHeight="true" outlineLevel="0" collapsed="false">
      <c r="A410" s="12" t="s">
        <v>505</v>
      </c>
      <c r="B410" s="13" t="s">
        <v>91</v>
      </c>
      <c r="C410" s="12" t="s">
        <v>46</v>
      </c>
      <c r="D410" s="13" t="s">
        <v>107</v>
      </c>
      <c r="E410" s="13" t="s">
        <v>135</v>
      </c>
      <c r="F410" s="12" t="n">
        <v>406</v>
      </c>
      <c r="G410" s="14" t="n">
        <v>1000</v>
      </c>
      <c r="H410" s="14" t="n">
        <v>406000</v>
      </c>
      <c r="I410" s="15" t="n">
        <v>5</v>
      </c>
      <c r="J410" s="16" t="n">
        <f aca="false">H410*(1-I410/100)</f>
        <v>385700</v>
      </c>
      <c r="K410" s="12" t="n">
        <v>2</v>
      </c>
      <c r="L410" s="12" t="s">
        <v>66</v>
      </c>
      <c r="M410" s="12" t="s">
        <v>61</v>
      </c>
    </row>
    <row r="411" customFormat="false" ht="15" hidden="false" customHeight="true" outlineLevel="0" collapsed="false">
      <c r="A411" s="17" t="s">
        <v>506</v>
      </c>
      <c r="B411" s="18" t="s">
        <v>128</v>
      </c>
      <c r="C411" s="17" t="s">
        <v>81</v>
      </c>
      <c r="D411" s="18" t="s">
        <v>64</v>
      </c>
      <c r="E411" s="18" t="s">
        <v>83</v>
      </c>
      <c r="F411" s="17" t="n">
        <v>298</v>
      </c>
      <c r="G411" s="19" t="n">
        <v>1000</v>
      </c>
      <c r="H411" s="19" t="n">
        <v>298000</v>
      </c>
      <c r="I411" s="20" t="n">
        <v>12</v>
      </c>
      <c r="J411" s="21" t="n">
        <f aca="false">H411*(1-I411/100)</f>
        <v>262240</v>
      </c>
      <c r="K411" s="17" t="n">
        <v>10</v>
      </c>
      <c r="L411" s="17" t="s">
        <v>49</v>
      </c>
      <c r="M411" s="17" t="s">
        <v>50</v>
      </c>
    </row>
    <row r="412" customFormat="false" ht="15" hidden="false" customHeight="true" outlineLevel="0" collapsed="false">
      <c r="A412" s="12" t="s">
        <v>507</v>
      </c>
      <c r="B412" s="13" t="s">
        <v>106</v>
      </c>
      <c r="C412" s="12" t="s">
        <v>81</v>
      </c>
      <c r="D412" s="13" t="s">
        <v>53</v>
      </c>
      <c r="E412" s="13" t="s">
        <v>54</v>
      </c>
      <c r="F412" s="12" t="n">
        <v>405</v>
      </c>
      <c r="G412" s="14" t="n">
        <v>750</v>
      </c>
      <c r="H412" s="14" t="n">
        <v>303750</v>
      </c>
      <c r="I412" s="15" t="n">
        <v>12</v>
      </c>
      <c r="J412" s="16" t="n">
        <f aca="false">H412*(1-I412/100)</f>
        <v>267300</v>
      </c>
      <c r="K412" s="12" t="n">
        <v>9</v>
      </c>
      <c r="L412" s="12" t="s">
        <v>74</v>
      </c>
      <c r="M412" s="12" t="s">
        <v>50</v>
      </c>
    </row>
    <row r="413" customFormat="false" ht="15" hidden="false" customHeight="true" outlineLevel="0" collapsed="false">
      <c r="A413" s="17" t="s">
        <v>508</v>
      </c>
      <c r="B413" s="18" t="s">
        <v>89</v>
      </c>
      <c r="C413" s="17" t="s">
        <v>46</v>
      </c>
      <c r="D413" s="18" t="s">
        <v>107</v>
      </c>
      <c r="E413" s="18" t="s">
        <v>108</v>
      </c>
      <c r="F413" s="17" t="n">
        <v>129</v>
      </c>
      <c r="G413" s="19" t="n">
        <v>5000</v>
      </c>
      <c r="H413" s="19" t="n">
        <v>645000</v>
      </c>
      <c r="I413" s="20" t="n">
        <v>5</v>
      </c>
      <c r="J413" s="21" t="n">
        <f aca="false">H413*(1-I413/100)</f>
        <v>612750</v>
      </c>
      <c r="K413" s="17" t="n">
        <v>11</v>
      </c>
      <c r="L413" s="17" t="s">
        <v>49</v>
      </c>
      <c r="M413" s="17" t="s">
        <v>50</v>
      </c>
    </row>
    <row r="414" customFormat="false" ht="15" hidden="false" customHeight="true" outlineLevel="0" collapsed="false">
      <c r="A414" s="12" t="s">
        <v>509</v>
      </c>
      <c r="B414" s="13" t="s">
        <v>68</v>
      </c>
      <c r="C414" s="12" t="s">
        <v>46</v>
      </c>
      <c r="D414" s="13" t="s">
        <v>47</v>
      </c>
      <c r="E414" s="13" t="s">
        <v>48</v>
      </c>
      <c r="F414" s="12" t="n">
        <v>444</v>
      </c>
      <c r="G414" s="14" t="n">
        <v>1000</v>
      </c>
      <c r="H414" s="14" t="n">
        <v>444000</v>
      </c>
      <c r="I414" s="15" t="n">
        <v>0</v>
      </c>
      <c r="J414" s="16" t="n">
        <f aca="false">H414*(1-I414/100)</f>
        <v>444000</v>
      </c>
      <c r="K414" s="12" t="n">
        <v>4</v>
      </c>
      <c r="L414" s="12" t="s">
        <v>55</v>
      </c>
      <c r="M414" s="12" t="s">
        <v>50</v>
      </c>
    </row>
    <row r="415" customFormat="false" ht="15" hidden="false" customHeight="true" outlineLevel="0" collapsed="false">
      <c r="A415" s="17" t="s">
        <v>510</v>
      </c>
      <c r="B415" s="18" t="s">
        <v>144</v>
      </c>
      <c r="C415" s="17" t="s">
        <v>72</v>
      </c>
      <c r="D415" s="18" t="s">
        <v>59</v>
      </c>
      <c r="E415" s="18" t="s">
        <v>131</v>
      </c>
      <c r="F415" s="17" t="n">
        <v>374</v>
      </c>
      <c r="G415" s="19" t="n">
        <v>1000</v>
      </c>
      <c r="H415" s="19" t="n">
        <v>374000</v>
      </c>
      <c r="I415" s="20" t="n">
        <v>0</v>
      </c>
      <c r="J415" s="21" t="n">
        <f aca="false">H415*(1-I415/100)</f>
        <v>374000</v>
      </c>
      <c r="K415" s="17" t="n">
        <v>1</v>
      </c>
      <c r="L415" s="17" t="s">
        <v>66</v>
      </c>
      <c r="M415" s="17" t="s">
        <v>50</v>
      </c>
    </row>
    <row r="416" customFormat="false" ht="15" hidden="false" customHeight="true" outlineLevel="0" collapsed="false">
      <c r="A416" s="12" t="s">
        <v>511</v>
      </c>
      <c r="B416" s="13" t="s">
        <v>57</v>
      </c>
      <c r="C416" s="12" t="s">
        <v>72</v>
      </c>
      <c r="D416" s="13" t="s">
        <v>47</v>
      </c>
      <c r="E416" s="13" t="s">
        <v>48</v>
      </c>
      <c r="F416" s="12" t="n">
        <v>244</v>
      </c>
      <c r="G416" s="14" t="n">
        <v>350</v>
      </c>
      <c r="H416" s="14" t="n">
        <v>85400</v>
      </c>
      <c r="I416" s="15" t="n">
        <v>10</v>
      </c>
      <c r="J416" s="16" t="n">
        <f aca="false">H416*(1-I416/100)</f>
        <v>76860</v>
      </c>
      <c r="K416" s="12" t="n">
        <v>2</v>
      </c>
      <c r="L416" s="12" t="s">
        <v>66</v>
      </c>
      <c r="M416" s="12" t="s">
        <v>50</v>
      </c>
    </row>
    <row r="417" customFormat="false" ht="15" hidden="false" customHeight="true" outlineLevel="0" collapsed="false">
      <c r="A417" s="17" t="s">
        <v>512</v>
      </c>
      <c r="B417" s="18" t="s">
        <v>91</v>
      </c>
      <c r="C417" s="17" t="s">
        <v>46</v>
      </c>
      <c r="D417" s="18" t="s">
        <v>53</v>
      </c>
      <c r="E417" s="18" t="s">
        <v>129</v>
      </c>
      <c r="F417" s="17" t="n">
        <v>41</v>
      </c>
      <c r="G417" s="19" t="n">
        <v>2000</v>
      </c>
      <c r="H417" s="19" t="n">
        <v>82000</v>
      </c>
      <c r="I417" s="20" t="n">
        <v>12</v>
      </c>
      <c r="J417" s="21" t="n">
        <f aca="false">H417*(1-I417/100)</f>
        <v>72160</v>
      </c>
      <c r="K417" s="17" t="n">
        <v>3</v>
      </c>
      <c r="L417" s="17" t="s">
        <v>66</v>
      </c>
      <c r="M417" s="17" t="s">
        <v>50</v>
      </c>
    </row>
    <row r="418" customFormat="false" ht="15" hidden="false" customHeight="true" outlineLevel="0" collapsed="false">
      <c r="A418" s="12" t="s">
        <v>513</v>
      </c>
      <c r="B418" s="13" t="s">
        <v>141</v>
      </c>
      <c r="C418" s="12" t="s">
        <v>81</v>
      </c>
      <c r="D418" s="13" t="s">
        <v>95</v>
      </c>
      <c r="E418" s="13" t="s">
        <v>96</v>
      </c>
      <c r="F418" s="12" t="n">
        <v>368</v>
      </c>
      <c r="G418" s="14" t="n">
        <v>1500</v>
      </c>
      <c r="H418" s="14" t="n">
        <v>552000</v>
      </c>
      <c r="I418" s="15" t="n">
        <v>5</v>
      </c>
      <c r="J418" s="16" t="n">
        <f aca="false">H418*(1-I418/100)</f>
        <v>524400</v>
      </c>
      <c r="K418" s="12" t="n">
        <v>8</v>
      </c>
      <c r="L418" s="12" t="s">
        <v>74</v>
      </c>
      <c r="M418" s="12" t="s">
        <v>61</v>
      </c>
    </row>
    <row r="419" customFormat="false" ht="15" hidden="false" customHeight="true" outlineLevel="0" collapsed="false">
      <c r="A419" s="17" t="s">
        <v>514</v>
      </c>
      <c r="B419" s="18" t="s">
        <v>111</v>
      </c>
      <c r="C419" s="17" t="s">
        <v>46</v>
      </c>
      <c r="D419" s="18" t="s">
        <v>64</v>
      </c>
      <c r="E419" s="18" t="s">
        <v>85</v>
      </c>
      <c r="F419" s="17" t="n">
        <v>409</v>
      </c>
      <c r="G419" s="19" t="n">
        <v>350</v>
      </c>
      <c r="H419" s="19" t="n">
        <v>143150</v>
      </c>
      <c r="I419" s="20" t="n">
        <v>2</v>
      </c>
      <c r="J419" s="21" t="n">
        <f aca="false">H419*(1-I419/100)</f>
        <v>140287</v>
      </c>
      <c r="K419" s="17" t="n">
        <v>2</v>
      </c>
      <c r="L419" s="17" t="s">
        <v>66</v>
      </c>
      <c r="M419" s="17" t="s">
        <v>50</v>
      </c>
    </row>
    <row r="420" customFormat="false" ht="15" hidden="false" customHeight="true" outlineLevel="0" collapsed="false">
      <c r="A420" s="12" t="s">
        <v>515</v>
      </c>
      <c r="B420" s="13" t="s">
        <v>106</v>
      </c>
      <c r="C420" s="12" t="s">
        <v>72</v>
      </c>
      <c r="D420" s="13" t="s">
        <v>95</v>
      </c>
      <c r="E420" s="13" t="s">
        <v>96</v>
      </c>
      <c r="F420" s="12" t="n">
        <v>71</v>
      </c>
      <c r="G420" s="14" t="n">
        <v>5000</v>
      </c>
      <c r="H420" s="14" t="n">
        <v>355000</v>
      </c>
      <c r="I420" s="15" t="n">
        <v>5</v>
      </c>
      <c r="J420" s="16" t="n">
        <f aca="false">H420*(1-I420/100)</f>
        <v>337250</v>
      </c>
      <c r="K420" s="12" t="n">
        <v>4</v>
      </c>
      <c r="L420" s="12" t="s">
        <v>55</v>
      </c>
      <c r="M420" s="12" t="s">
        <v>61</v>
      </c>
    </row>
    <row r="421" customFormat="false" ht="15" hidden="false" customHeight="true" outlineLevel="0" collapsed="false">
      <c r="A421" s="17" t="s">
        <v>516</v>
      </c>
      <c r="B421" s="18" t="s">
        <v>141</v>
      </c>
      <c r="C421" s="17" t="s">
        <v>72</v>
      </c>
      <c r="D421" s="18" t="s">
        <v>95</v>
      </c>
      <c r="E421" s="18" t="s">
        <v>122</v>
      </c>
      <c r="F421" s="17" t="n">
        <v>56</v>
      </c>
      <c r="G421" s="19" t="n">
        <v>500</v>
      </c>
      <c r="H421" s="19" t="n">
        <v>28000</v>
      </c>
      <c r="I421" s="20" t="n">
        <v>15</v>
      </c>
      <c r="J421" s="21" t="n">
        <f aca="false">H421*(1-I421/100)</f>
        <v>23800</v>
      </c>
      <c r="K421" s="17" t="n">
        <v>11</v>
      </c>
      <c r="L421" s="17" t="s">
        <v>49</v>
      </c>
      <c r="M421" s="17" t="s">
        <v>61</v>
      </c>
    </row>
    <row r="422" customFormat="false" ht="15" hidden="false" customHeight="true" outlineLevel="0" collapsed="false">
      <c r="A422" s="12" t="s">
        <v>517</v>
      </c>
      <c r="B422" s="13" t="s">
        <v>71</v>
      </c>
      <c r="C422" s="12" t="s">
        <v>79</v>
      </c>
      <c r="D422" s="13" t="s">
        <v>95</v>
      </c>
      <c r="E422" s="13" t="s">
        <v>122</v>
      </c>
      <c r="F422" s="12" t="n">
        <v>56</v>
      </c>
      <c r="G422" s="14" t="n">
        <v>750</v>
      </c>
      <c r="H422" s="14" t="n">
        <v>42000</v>
      </c>
      <c r="I422" s="15" t="n">
        <v>5</v>
      </c>
      <c r="J422" s="16" t="n">
        <f aca="false">H422*(1-I422/100)</f>
        <v>39900</v>
      </c>
      <c r="K422" s="12" t="n">
        <v>7</v>
      </c>
      <c r="L422" s="12" t="s">
        <v>74</v>
      </c>
      <c r="M422" s="12" t="s">
        <v>50</v>
      </c>
    </row>
    <row r="423" customFormat="false" ht="15" hidden="false" customHeight="true" outlineLevel="0" collapsed="false">
      <c r="A423" s="17" t="s">
        <v>518</v>
      </c>
      <c r="B423" s="18" t="s">
        <v>141</v>
      </c>
      <c r="C423" s="17" t="s">
        <v>81</v>
      </c>
      <c r="D423" s="18" t="s">
        <v>64</v>
      </c>
      <c r="E423" s="18" t="s">
        <v>85</v>
      </c>
      <c r="F423" s="17" t="n">
        <v>497</v>
      </c>
      <c r="G423" s="19" t="n">
        <v>2000</v>
      </c>
      <c r="H423" s="19" t="n">
        <v>994000</v>
      </c>
      <c r="I423" s="20" t="n">
        <v>15</v>
      </c>
      <c r="J423" s="21" t="n">
        <f aca="false">H423*(1-I423/100)</f>
        <v>844900</v>
      </c>
      <c r="K423" s="17" t="n">
        <v>8</v>
      </c>
      <c r="L423" s="17" t="s">
        <v>74</v>
      </c>
      <c r="M423" s="17" t="s">
        <v>50</v>
      </c>
    </row>
    <row r="424" customFormat="false" ht="15" hidden="false" customHeight="true" outlineLevel="0" collapsed="false">
      <c r="A424" s="12" t="s">
        <v>519</v>
      </c>
      <c r="B424" s="13" t="s">
        <v>45</v>
      </c>
      <c r="C424" s="12" t="s">
        <v>72</v>
      </c>
      <c r="D424" s="13" t="s">
        <v>59</v>
      </c>
      <c r="E424" s="13" t="s">
        <v>131</v>
      </c>
      <c r="F424" s="12" t="n">
        <v>72</v>
      </c>
      <c r="G424" s="14" t="n">
        <v>250</v>
      </c>
      <c r="H424" s="14" t="n">
        <v>18000</v>
      </c>
      <c r="I424" s="15" t="n">
        <v>0</v>
      </c>
      <c r="J424" s="16" t="n">
        <f aca="false">H424*(1-I424/100)</f>
        <v>18000</v>
      </c>
      <c r="K424" s="12" t="n">
        <v>4</v>
      </c>
      <c r="L424" s="12" t="s">
        <v>55</v>
      </c>
      <c r="M424" s="12" t="s">
        <v>50</v>
      </c>
    </row>
    <row r="425" customFormat="false" ht="15" hidden="false" customHeight="true" outlineLevel="0" collapsed="false">
      <c r="A425" s="17" t="s">
        <v>520</v>
      </c>
      <c r="B425" s="18" t="s">
        <v>87</v>
      </c>
      <c r="C425" s="17" t="s">
        <v>72</v>
      </c>
      <c r="D425" s="18" t="s">
        <v>95</v>
      </c>
      <c r="E425" s="18" t="s">
        <v>139</v>
      </c>
      <c r="F425" s="17" t="n">
        <v>332</v>
      </c>
      <c r="G425" s="19" t="n">
        <v>350</v>
      </c>
      <c r="H425" s="19" t="n">
        <v>116200</v>
      </c>
      <c r="I425" s="20" t="n">
        <v>10</v>
      </c>
      <c r="J425" s="21" t="n">
        <f aca="false">H425*(1-I425/100)</f>
        <v>104580</v>
      </c>
      <c r="K425" s="17" t="n">
        <v>10</v>
      </c>
      <c r="L425" s="17" t="s">
        <v>49</v>
      </c>
      <c r="M425" s="17" t="s">
        <v>61</v>
      </c>
    </row>
    <row r="426" customFormat="false" ht="15" hidden="false" customHeight="true" outlineLevel="0" collapsed="false">
      <c r="A426" s="12" t="s">
        <v>521</v>
      </c>
      <c r="B426" s="13" t="s">
        <v>78</v>
      </c>
      <c r="C426" s="12" t="s">
        <v>46</v>
      </c>
      <c r="D426" s="13" t="s">
        <v>59</v>
      </c>
      <c r="E426" s="13" t="s">
        <v>131</v>
      </c>
      <c r="F426" s="12" t="n">
        <v>472</v>
      </c>
      <c r="G426" s="14" t="n">
        <v>3000</v>
      </c>
      <c r="H426" s="14" t="n">
        <v>1416000</v>
      </c>
      <c r="I426" s="15" t="n">
        <v>15</v>
      </c>
      <c r="J426" s="16" t="n">
        <f aca="false">H426*(1-I426/100)</f>
        <v>1203600</v>
      </c>
      <c r="K426" s="12" t="n">
        <v>3</v>
      </c>
      <c r="L426" s="12" t="s">
        <v>66</v>
      </c>
      <c r="M426" s="12" t="s">
        <v>50</v>
      </c>
    </row>
    <row r="427" customFormat="false" ht="15" hidden="false" customHeight="true" outlineLevel="0" collapsed="false">
      <c r="A427" s="17" t="s">
        <v>522</v>
      </c>
      <c r="B427" s="18" t="s">
        <v>68</v>
      </c>
      <c r="C427" s="17" t="s">
        <v>46</v>
      </c>
      <c r="D427" s="18" t="s">
        <v>59</v>
      </c>
      <c r="E427" s="18" t="s">
        <v>69</v>
      </c>
      <c r="F427" s="17" t="n">
        <v>35</v>
      </c>
      <c r="G427" s="19" t="n">
        <v>500</v>
      </c>
      <c r="H427" s="19" t="n">
        <v>17500</v>
      </c>
      <c r="I427" s="20" t="n">
        <v>10</v>
      </c>
      <c r="J427" s="21" t="n">
        <f aca="false">H427*(1-I427/100)</f>
        <v>15750</v>
      </c>
      <c r="K427" s="17" t="n">
        <v>7</v>
      </c>
      <c r="L427" s="17" t="s">
        <v>74</v>
      </c>
      <c r="M427" s="17" t="s">
        <v>61</v>
      </c>
    </row>
    <row r="428" customFormat="false" ht="15" hidden="false" customHeight="true" outlineLevel="0" collapsed="false">
      <c r="A428" s="12" t="s">
        <v>523</v>
      </c>
      <c r="B428" s="13" t="s">
        <v>100</v>
      </c>
      <c r="C428" s="12" t="s">
        <v>46</v>
      </c>
      <c r="D428" s="13" t="s">
        <v>107</v>
      </c>
      <c r="E428" s="13" t="s">
        <v>117</v>
      </c>
      <c r="F428" s="12" t="n">
        <v>228</v>
      </c>
      <c r="G428" s="14" t="n">
        <v>500</v>
      </c>
      <c r="H428" s="14" t="n">
        <v>114000</v>
      </c>
      <c r="I428" s="15" t="n">
        <v>5</v>
      </c>
      <c r="J428" s="16" t="n">
        <f aca="false">H428*(1-I428/100)</f>
        <v>108300</v>
      </c>
      <c r="K428" s="12" t="n">
        <v>4</v>
      </c>
      <c r="L428" s="12" t="s">
        <v>55</v>
      </c>
      <c r="M428" s="12" t="s">
        <v>50</v>
      </c>
    </row>
    <row r="429" customFormat="false" ht="15" hidden="false" customHeight="true" outlineLevel="0" collapsed="false">
      <c r="A429" s="17" t="s">
        <v>524</v>
      </c>
      <c r="B429" s="18" t="s">
        <v>63</v>
      </c>
      <c r="C429" s="17" t="s">
        <v>81</v>
      </c>
      <c r="D429" s="18" t="s">
        <v>107</v>
      </c>
      <c r="E429" s="18" t="s">
        <v>108</v>
      </c>
      <c r="F429" s="17" t="n">
        <v>27</v>
      </c>
      <c r="G429" s="19" t="n">
        <v>750</v>
      </c>
      <c r="H429" s="19" t="n">
        <v>20250</v>
      </c>
      <c r="I429" s="20" t="n">
        <v>12</v>
      </c>
      <c r="J429" s="21" t="n">
        <f aca="false">H429*(1-I429/100)</f>
        <v>17820</v>
      </c>
      <c r="K429" s="17" t="n">
        <v>5</v>
      </c>
      <c r="L429" s="17" t="s">
        <v>55</v>
      </c>
      <c r="M429" s="17" t="s">
        <v>61</v>
      </c>
    </row>
    <row r="430" customFormat="false" ht="15" hidden="false" customHeight="true" outlineLevel="0" collapsed="false">
      <c r="A430" s="12" t="s">
        <v>525</v>
      </c>
      <c r="B430" s="13" t="s">
        <v>144</v>
      </c>
      <c r="C430" s="12" t="s">
        <v>58</v>
      </c>
      <c r="D430" s="13" t="s">
        <v>107</v>
      </c>
      <c r="E430" s="13" t="s">
        <v>108</v>
      </c>
      <c r="F430" s="12" t="n">
        <v>54</v>
      </c>
      <c r="G430" s="14" t="n">
        <v>1000</v>
      </c>
      <c r="H430" s="14" t="n">
        <v>54000</v>
      </c>
      <c r="I430" s="15" t="n">
        <v>8</v>
      </c>
      <c r="J430" s="16" t="n">
        <f aca="false">H430*(1-I430/100)</f>
        <v>49680</v>
      </c>
      <c r="K430" s="12" t="n">
        <v>3</v>
      </c>
      <c r="L430" s="12" t="s">
        <v>66</v>
      </c>
      <c r="M430" s="12" t="s">
        <v>61</v>
      </c>
    </row>
    <row r="431" customFormat="false" ht="15" hidden="false" customHeight="true" outlineLevel="0" collapsed="false">
      <c r="A431" s="17" t="s">
        <v>526</v>
      </c>
      <c r="B431" s="18" t="s">
        <v>87</v>
      </c>
      <c r="C431" s="17" t="s">
        <v>58</v>
      </c>
      <c r="D431" s="18" t="s">
        <v>64</v>
      </c>
      <c r="E431" s="18" t="s">
        <v>65</v>
      </c>
      <c r="F431" s="17" t="n">
        <v>420</v>
      </c>
      <c r="G431" s="19" t="n">
        <v>5000</v>
      </c>
      <c r="H431" s="19" t="n">
        <v>2100000</v>
      </c>
      <c r="I431" s="20" t="n">
        <v>15</v>
      </c>
      <c r="J431" s="21" t="n">
        <f aca="false">H431*(1-I431/100)</f>
        <v>1785000</v>
      </c>
      <c r="K431" s="17" t="n">
        <v>1</v>
      </c>
      <c r="L431" s="17" t="s">
        <v>66</v>
      </c>
      <c r="M431" s="17" t="s">
        <v>61</v>
      </c>
    </row>
    <row r="432" customFormat="false" ht="15" hidden="false" customHeight="true" outlineLevel="0" collapsed="false">
      <c r="A432" s="12" t="s">
        <v>527</v>
      </c>
      <c r="B432" s="13" t="s">
        <v>76</v>
      </c>
      <c r="C432" s="12" t="s">
        <v>72</v>
      </c>
      <c r="D432" s="13" t="s">
        <v>53</v>
      </c>
      <c r="E432" s="13" t="s">
        <v>54</v>
      </c>
      <c r="F432" s="12" t="n">
        <v>186</v>
      </c>
      <c r="G432" s="14" t="n">
        <v>5000</v>
      </c>
      <c r="H432" s="14" t="n">
        <v>930000</v>
      </c>
      <c r="I432" s="15" t="n">
        <v>5</v>
      </c>
      <c r="J432" s="16" t="n">
        <f aca="false">H432*(1-I432/100)</f>
        <v>883500</v>
      </c>
      <c r="K432" s="12" t="n">
        <v>7</v>
      </c>
      <c r="L432" s="12" t="s">
        <v>74</v>
      </c>
      <c r="M432" s="12" t="s">
        <v>61</v>
      </c>
    </row>
    <row r="433" customFormat="false" ht="15" hidden="false" customHeight="true" outlineLevel="0" collapsed="false">
      <c r="A433" s="17" t="s">
        <v>528</v>
      </c>
      <c r="B433" s="18" t="s">
        <v>120</v>
      </c>
      <c r="C433" s="17" t="s">
        <v>46</v>
      </c>
      <c r="D433" s="18" t="s">
        <v>95</v>
      </c>
      <c r="E433" s="18" t="s">
        <v>139</v>
      </c>
      <c r="F433" s="17" t="n">
        <v>122</v>
      </c>
      <c r="G433" s="19" t="n">
        <v>250</v>
      </c>
      <c r="H433" s="19" t="n">
        <v>30500</v>
      </c>
      <c r="I433" s="20" t="n">
        <v>15</v>
      </c>
      <c r="J433" s="21" t="n">
        <f aca="false">H433*(1-I433/100)</f>
        <v>25925</v>
      </c>
      <c r="K433" s="17" t="n">
        <v>5</v>
      </c>
      <c r="L433" s="17" t="s">
        <v>55</v>
      </c>
      <c r="M433" s="17" t="s">
        <v>50</v>
      </c>
    </row>
    <row r="434" customFormat="false" ht="15" hidden="false" customHeight="true" outlineLevel="0" collapsed="false">
      <c r="A434" s="12" t="s">
        <v>529</v>
      </c>
      <c r="B434" s="13" t="s">
        <v>100</v>
      </c>
      <c r="C434" s="12" t="s">
        <v>58</v>
      </c>
      <c r="D434" s="13" t="s">
        <v>95</v>
      </c>
      <c r="E434" s="13" t="s">
        <v>139</v>
      </c>
      <c r="F434" s="12" t="n">
        <v>129</v>
      </c>
      <c r="G434" s="14" t="n">
        <v>500</v>
      </c>
      <c r="H434" s="14" t="n">
        <v>64500</v>
      </c>
      <c r="I434" s="15" t="n">
        <v>0</v>
      </c>
      <c r="J434" s="16" t="n">
        <f aca="false">H434*(1-I434/100)</f>
        <v>64500</v>
      </c>
      <c r="K434" s="12" t="n">
        <v>4</v>
      </c>
      <c r="L434" s="12" t="s">
        <v>55</v>
      </c>
      <c r="M434" s="12" t="s">
        <v>50</v>
      </c>
    </row>
    <row r="435" customFormat="false" ht="15" hidden="false" customHeight="true" outlineLevel="0" collapsed="false">
      <c r="A435" s="17" t="s">
        <v>530</v>
      </c>
      <c r="B435" s="18" t="s">
        <v>63</v>
      </c>
      <c r="C435" s="17" t="s">
        <v>58</v>
      </c>
      <c r="D435" s="18" t="s">
        <v>47</v>
      </c>
      <c r="E435" s="18" t="s">
        <v>146</v>
      </c>
      <c r="F435" s="17" t="n">
        <v>401</v>
      </c>
      <c r="G435" s="19" t="n">
        <v>750</v>
      </c>
      <c r="H435" s="19" t="n">
        <v>300750</v>
      </c>
      <c r="I435" s="20" t="n">
        <v>10</v>
      </c>
      <c r="J435" s="21" t="n">
        <f aca="false">H435*(1-I435/100)</f>
        <v>270675</v>
      </c>
      <c r="K435" s="17" t="n">
        <v>7</v>
      </c>
      <c r="L435" s="17" t="s">
        <v>74</v>
      </c>
      <c r="M435" s="17" t="s">
        <v>61</v>
      </c>
    </row>
    <row r="436" customFormat="false" ht="15" hidden="false" customHeight="true" outlineLevel="0" collapsed="false">
      <c r="A436" s="12" t="s">
        <v>531</v>
      </c>
      <c r="B436" s="13" t="s">
        <v>120</v>
      </c>
      <c r="C436" s="12" t="s">
        <v>79</v>
      </c>
      <c r="D436" s="13" t="s">
        <v>64</v>
      </c>
      <c r="E436" s="13" t="s">
        <v>65</v>
      </c>
      <c r="F436" s="12" t="n">
        <v>172</v>
      </c>
      <c r="G436" s="14" t="n">
        <v>1500</v>
      </c>
      <c r="H436" s="14" t="n">
        <v>258000</v>
      </c>
      <c r="I436" s="15" t="n">
        <v>10</v>
      </c>
      <c r="J436" s="16" t="n">
        <f aca="false">H436*(1-I436/100)</f>
        <v>232200</v>
      </c>
      <c r="K436" s="12" t="n">
        <v>1</v>
      </c>
      <c r="L436" s="12" t="s">
        <v>66</v>
      </c>
      <c r="M436" s="12" t="s">
        <v>61</v>
      </c>
    </row>
    <row r="437" customFormat="false" ht="15" hidden="false" customHeight="true" outlineLevel="0" collapsed="false">
      <c r="A437" s="17" t="s">
        <v>532</v>
      </c>
      <c r="B437" s="18" t="s">
        <v>89</v>
      </c>
      <c r="C437" s="17" t="s">
        <v>58</v>
      </c>
      <c r="D437" s="18" t="s">
        <v>64</v>
      </c>
      <c r="E437" s="18" t="s">
        <v>83</v>
      </c>
      <c r="F437" s="17" t="n">
        <v>287</v>
      </c>
      <c r="G437" s="19" t="n">
        <v>1000</v>
      </c>
      <c r="H437" s="19" t="n">
        <v>287000</v>
      </c>
      <c r="I437" s="20" t="n">
        <v>2</v>
      </c>
      <c r="J437" s="21" t="n">
        <f aca="false">H437*(1-I437/100)</f>
        <v>281260</v>
      </c>
      <c r="K437" s="17" t="n">
        <v>8</v>
      </c>
      <c r="L437" s="17" t="s">
        <v>74</v>
      </c>
      <c r="M437" s="17" t="s">
        <v>50</v>
      </c>
    </row>
    <row r="438" customFormat="false" ht="15" hidden="false" customHeight="true" outlineLevel="0" collapsed="false">
      <c r="A438" s="12" t="s">
        <v>533</v>
      </c>
      <c r="B438" s="13" t="s">
        <v>78</v>
      </c>
      <c r="C438" s="12" t="s">
        <v>46</v>
      </c>
      <c r="D438" s="13" t="s">
        <v>64</v>
      </c>
      <c r="E438" s="13" t="s">
        <v>65</v>
      </c>
      <c r="F438" s="12" t="n">
        <v>122</v>
      </c>
      <c r="G438" s="14" t="n">
        <v>250</v>
      </c>
      <c r="H438" s="14" t="n">
        <v>30500</v>
      </c>
      <c r="I438" s="15" t="n">
        <v>10</v>
      </c>
      <c r="J438" s="16" t="n">
        <f aca="false">H438*(1-I438/100)</f>
        <v>27450</v>
      </c>
      <c r="K438" s="12" t="n">
        <v>8</v>
      </c>
      <c r="L438" s="12" t="s">
        <v>74</v>
      </c>
      <c r="M438" s="12" t="s">
        <v>50</v>
      </c>
    </row>
    <row r="439" customFormat="false" ht="15" hidden="false" customHeight="true" outlineLevel="0" collapsed="false">
      <c r="A439" s="17" t="s">
        <v>534</v>
      </c>
      <c r="B439" s="18" t="s">
        <v>68</v>
      </c>
      <c r="C439" s="17" t="s">
        <v>58</v>
      </c>
      <c r="D439" s="18" t="s">
        <v>64</v>
      </c>
      <c r="E439" s="18" t="s">
        <v>85</v>
      </c>
      <c r="F439" s="17" t="n">
        <v>184</v>
      </c>
      <c r="G439" s="19" t="n">
        <v>500</v>
      </c>
      <c r="H439" s="19" t="n">
        <v>92000</v>
      </c>
      <c r="I439" s="20" t="n">
        <v>15</v>
      </c>
      <c r="J439" s="21" t="n">
        <f aca="false">H439*(1-I439/100)</f>
        <v>78200</v>
      </c>
      <c r="K439" s="17" t="n">
        <v>6</v>
      </c>
      <c r="L439" s="17" t="s">
        <v>55</v>
      </c>
      <c r="M439" s="17" t="s">
        <v>50</v>
      </c>
    </row>
    <row r="440" customFormat="false" ht="15" hidden="false" customHeight="true" outlineLevel="0" collapsed="false">
      <c r="A440" s="12" t="s">
        <v>535</v>
      </c>
      <c r="B440" s="13" t="s">
        <v>128</v>
      </c>
      <c r="C440" s="12" t="s">
        <v>79</v>
      </c>
      <c r="D440" s="13" t="s">
        <v>53</v>
      </c>
      <c r="E440" s="13" t="s">
        <v>129</v>
      </c>
      <c r="F440" s="12" t="n">
        <v>479</v>
      </c>
      <c r="G440" s="14" t="n">
        <v>500</v>
      </c>
      <c r="H440" s="14" t="n">
        <v>239500</v>
      </c>
      <c r="I440" s="15" t="n">
        <v>15</v>
      </c>
      <c r="J440" s="16" t="n">
        <f aca="false">H440*(1-I440/100)</f>
        <v>203575</v>
      </c>
      <c r="K440" s="12" t="n">
        <v>2</v>
      </c>
      <c r="L440" s="12" t="s">
        <v>66</v>
      </c>
      <c r="M440" s="12" t="s">
        <v>61</v>
      </c>
    </row>
    <row r="441" customFormat="false" ht="15" hidden="false" customHeight="true" outlineLevel="0" collapsed="false">
      <c r="A441" s="17" t="s">
        <v>536</v>
      </c>
      <c r="B441" s="18" t="s">
        <v>78</v>
      </c>
      <c r="C441" s="17" t="s">
        <v>81</v>
      </c>
      <c r="D441" s="18" t="s">
        <v>47</v>
      </c>
      <c r="E441" s="18" t="s">
        <v>104</v>
      </c>
      <c r="F441" s="17" t="n">
        <v>212</v>
      </c>
      <c r="G441" s="19" t="n">
        <v>350</v>
      </c>
      <c r="H441" s="19" t="n">
        <v>74200</v>
      </c>
      <c r="I441" s="20" t="n">
        <v>5</v>
      </c>
      <c r="J441" s="21" t="n">
        <f aca="false">H441*(1-I441/100)</f>
        <v>70490</v>
      </c>
      <c r="K441" s="17" t="n">
        <v>5</v>
      </c>
      <c r="L441" s="17" t="s">
        <v>55</v>
      </c>
      <c r="M441" s="17" t="s">
        <v>61</v>
      </c>
    </row>
    <row r="442" customFormat="false" ht="15" hidden="false" customHeight="true" outlineLevel="0" collapsed="false">
      <c r="A442" s="12" t="s">
        <v>537</v>
      </c>
      <c r="B442" s="13" t="s">
        <v>89</v>
      </c>
      <c r="C442" s="12" t="s">
        <v>79</v>
      </c>
      <c r="D442" s="13" t="s">
        <v>47</v>
      </c>
      <c r="E442" s="13" t="s">
        <v>48</v>
      </c>
      <c r="F442" s="12" t="n">
        <v>415</v>
      </c>
      <c r="G442" s="14" t="n">
        <v>3000</v>
      </c>
      <c r="H442" s="14" t="n">
        <v>1245000</v>
      </c>
      <c r="I442" s="15" t="n">
        <v>12</v>
      </c>
      <c r="J442" s="16" t="n">
        <f aca="false">H442*(1-I442/100)</f>
        <v>1095600</v>
      </c>
      <c r="K442" s="12" t="n">
        <v>6</v>
      </c>
      <c r="L442" s="12" t="s">
        <v>55</v>
      </c>
      <c r="M442" s="12" t="s">
        <v>50</v>
      </c>
    </row>
    <row r="443" customFormat="false" ht="15" hidden="false" customHeight="true" outlineLevel="0" collapsed="false">
      <c r="A443" s="17" t="s">
        <v>538</v>
      </c>
      <c r="B443" s="18" t="s">
        <v>52</v>
      </c>
      <c r="C443" s="17" t="s">
        <v>58</v>
      </c>
      <c r="D443" s="18" t="s">
        <v>95</v>
      </c>
      <c r="E443" s="18" t="s">
        <v>122</v>
      </c>
      <c r="F443" s="17" t="n">
        <v>350</v>
      </c>
      <c r="G443" s="19" t="n">
        <v>500</v>
      </c>
      <c r="H443" s="19" t="n">
        <v>175000</v>
      </c>
      <c r="I443" s="20" t="n">
        <v>8</v>
      </c>
      <c r="J443" s="21" t="n">
        <f aca="false">H443*(1-I443/100)</f>
        <v>161000</v>
      </c>
      <c r="K443" s="17" t="n">
        <v>5</v>
      </c>
      <c r="L443" s="17" t="s">
        <v>55</v>
      </c>
      <c r="M443" s="17" t="s">
        <v>61</v>
      </c>
    </row>
    <row r="444" customFormat="false" ht="15" hidden="false" customHeight="true" outlineLevel="0" collapsed="false">
      <c r="A444" s="12" t="s">
        <v>539</v>
      </c>
      <c r="B444" s="13" t="s">
        <v>89</v>
      </c>
      <c r="C444" s="12" t="s">
        <v>79</v>
      </c>
      <c r="D444" s="13" t="s">
        <v>47</v>
      </c>
      <c r="E444" s="13" t="s">
        <v>146</v>
      </c>
      <c r="F444" s="12" t="n">
        <v>495</v>
      </c>
      <c r="G444" s="14" t="n">
        <v>2000</v>
      </c>
      <c r="H444" s="14" t="n">
        <v>990000</v>
      </c>
      <c r="I444" s="15" t="n">
        <v>15</v>
      </c>
      <c r="J444" s="16" t="n">
        <f aca="false">H444*(1-I444/100)</f>
        <v>841500</v>
      </c>
      <c r="K444" s="12" t="n">
        <v>10</v>
      </c>
      <c r="L444" s="12" t="s">
        <v>49</v>
      </c>
      <c r="M444" s="12" t="s">
        <v>50</v>
      </c>
    </row>
    <row r="445" customFormat="false" ht="15" hidden="false" customHeight="true" outlineLevel="0" collapsed="false">
      <c r="A445" s="17" t="s">
        <v>540</v>
      </c>
      <c r="B445" s="18" t="s">
        <v>120</v>
      </c>
      <c r="C445" s="17" t="s">
        <v>58</v>
      </c>
      <c r="D445" s="18" t="s">
        <v>95</v>
      </c>
      <c r="E445" s="18" t="s">
        <v>139</v>
      </c>
      <c r="F445" s="17" t="n">
        <v>123</v>
      </c>
      <c r="G445" s="19" t="n">
        <v>350</v>
      </c>
      <c r="H445" s="19" t="n">
        <v>43050</v>
      </c>
      <c r="I445" s="20" t="n">
        <v>8</v>
      </c>
      <c r="J445" s="21" t="n">
        <f aca="false">H445*(1-I445/100)</f>
        <v>39606</v>
      </c>
      <c r="K445" s="17" t="n">
        <v>3</v>
      </c>
      <c r="L445" s="17" t="s">
        <v>66</v>
      </c>
      <c r="M445" s="17" t="s">
        <v>61</v>
      </c>
    </row>
    <row r="446" customFormat="false" ht="15" hidden="false" customHeight="true" outlineLevel="0" collapsed="false">
      <c r="A446" s="12" t="s">
        <v>541</v>
      </c>
      <c r="B446" s="13" t="s">
        <v>78</v>
      </c>
      <c r="C446" s="12" t="s">
        <v>79</v>
      </c>
      <c r="D446" s="13" t="s">
        <v>95</v>
      </c>
      <c r="E446" s="13" t="s">
        <v>96</v>
      </c>
      <c r="F446" s="12" t="n">
        <v>95</v>
      </c>
      <c r="G446" s="14" t="n">
        <v>350</v>
      </c>
      <c r="H446" s="14" t="n">
        <v>33250</v>
      </c>
      <c r="I446" s="15" t="n">
        <v>15</v>
      </c>
      <c r="J446" s="16" t="n">
        <f aca="false">H446*(1-I446/100)</f>
        <v>28262.5</v>
      </c>
      <c r="K446" s="12" t="n">
        <v>12</v>
      </c>
      <c r="L446" s="12" t="s">
        <v>49</v>
      </c>
      <c r="M446" s="12" t="s">
        <v>61</v>
      </c>
    </row>
    <row r="447" customFormat="false" ht="15" hidden="false" customHeight="true" outlineLevel="0" collapsed="false">
      <c r="A447" s="17" t="s">
        <v>542</v>
      </c>
      <c r="B447" s="18" t="s">
        <v>106</v>
      </c>
      <c r="C447" s="17" t="s">
        <v>46</v>
      </c>
      <c r="D447" s="18" t="s">
        <v>95</v>
      </c>
      <c r="E447" s="18" t="s">
        <v>122</v>
      </c>
      <c r="F447" s="17" t="n">
        <v>137</v>
      </c>
      <c r="G447" s="19" t="n">
        <v>350</v>
      </c>
      <c r="H447" s="19" t="n">
        <v>47950</v>
      </c>
      <c r="I447" s="20" t="n">
        <v>5</v>
      </c>
      <c r="J447" s="21" t="n">
        <f aca="false">H447*(1-I447/100)</f>
        <v>45552.5</v>
      </c>
      <c r="K447" s="17" t="n">
        <v>5</v>
      </c>
      <c r="L447" s="17" t="s">
        <v>55</v>
      </c>
      <c r="M447" s="17" t="s">
        <v>50</v>
      </c>
    </row>
    <row r="448" customFormat="false" ht="15" hidden="false" customHeight="true" outlineLevel="0" collapsed="false">
      <c r="A448" s="12" t="s">
        <v>543</v>
      </c>
      <c r="B448" s="13" t="s">
        <v>128</v>
      </c>
      <c r="C448" s="12" t="s">
        <v>46</v>
      </c>
      <c r="D448" s="13" t="s">
        <v>107</v>
      </c>
      <c r="E448" s="13" t="s">
        <v>135</v>
      </c>
      <c r="F448" s="12" t="n">
        <v>385</v>
      </c>
      <c r="G448" s="14" t="n">
        <v>2000</v>
      </c>
      <c r="H448" s="14" t="n">
        <v>770000</v>
      </c>
      <c r="I448" s="15" t="n">
        <v>2</v>
      </c>
      <c r="J448" s="16" t="n">
        <f aca="false">H448*(1-I448/100)</f>
        <v>754600</v>
      </c>
      <c r="K448" s="12" t="n">
        <v>7</v>
      </c>
      <c r="L448" s="12" t="s">
        <v>74</v>
      </c>
      <c r="M448" s="12" t="s">
        <v>61</v>
      </c>
    </row>
    <row r="449" customFormat="false" ht="15" hidden="false" customHeight="true" outlineLevel="0" collapsed="false">
      <c r="A449" s="17" t="s">
        <v>544</v>
      </c>
      <c r="B449" s="18" t="s">
        <v>91</v>
      </c>
      <c r="C449" s="17" t="s">
        <v>81</v>
      </c>
      <c r="D449" s="18" t="s">
        <v>53</v>
      </c>
      <c r="E449" s="18" t="s">
        <v>54</v>
      </c>
      <c r="F449" s="17" t="n">
        <v>61</v>
      </c>
      <c r="G449" s="19" t="n">
        <v>3000</v>
      </c>
      <c r="H449" s="19" t="n">
        <v>183000</v>
      </c>
      <c r="I449" s="20" t="n">
        <v>15</v>
      </c>
      <c r="J449" s="21" t="n">
        <f aca="false">H449*(1-I449/100)</f>
        <v>155550</v>
      </c>
      <c r="K449" s="17" t="n">
        <v>10</v>
      </c>
      <c r="L449" s="17" t="s">
        <v>49</v>
      </c>
      <c r="M449" s="17" t="s">
        <v>50</v>
      </c>
    </row>
    <row r="450" customFormat="false" ht="15" hidden="false" customHeight="true" outlineLevel="0" collapsed="false">
      <c r="A450" s="12" t="s">
        <v>545</v>
      </c>
      <c r="B450" s="13" t="s">
        <v>120</v>
      </c>
      <c r="C450" s="12" t="s">
        <v>72</v>
      </c>
      <c r="D450" s="13" t="s">
        <v>59</v>
      </c>
      <c r="E450" s="13" t="s">
        <v>131</v>
      </c>
      <c r="F450" s="12" t="n">
        <v>160</v>
      </c>
      <c r="G450" s="14" t="n">
        <v>250</v>
      </c>
      <c r="H450" s="14" t="n">
        <v>40000</v>
      </c>
      <c r="I450" s="15" t="n">
        <v>5</v>
      </c>
      <c r="J450" s="16" t="n">
        <f aca="false">H450*(1-I450/100)</f>
        <v>38000</v>
      </c>
      <c r="K450" s="12" t="n">
        <v>5</v>
      </c>
      <c r="L450" s="12" t="s">
        <v>55</v>
      </c>
      <c r="M450" s="12" t="s">
        <v>50</v>
      </c>
    </row>
    <row r="451" customFormat="false" ht="15" hidden="false" customHeight="true" outlineLevel="0" collapsed="false">
      <c r="A451" s="17" t="s">
        <v>546</v>
      </c>
      <c r="B451" s="18" t="s">
        <v>78</v>
      </c>
      <c r="C451" s="17" t="s">
        <v>81</v>
      </c>
      <c r="D451" s="18" t="s">
        <v>64</v>
      </c>
      <c r="E451" s="18" t="s">
        <v>83</v>
      </c>
      <c r="F451" s="17" t="n">
        <v>92</v>
      </c>
      <c r="G451" s="19" t="n">
        <v>350</v>
      </c>
      <c r="H451" s="19" t="n">
        <v>32200</v>
      </c>
      <c r="I451" s="20" t="n">
        <v>10</v>
      </c>
      <c r="J451" s="21" t="n">
        <f aca="false">H451*(1-I451/100)</f>
        <v>28980</v>
      </c>
      <c r="K451" s="17" t="n">
        <v>2</v>
      </c>
      <c r="L451" s="17" t="s">
        <v>66</v>
      </c>
      <c r="M451" s="17" t="s">
        <v>61</v>
      </c>
    </row>
    <row r="452" customFormat="false" ht="15" hidden="false" customHeight="true" outlineLevel="0" collapsed="false">
      <c r="A452" s="12" t="s">
        <v>547</v>
      </c>
      <c r="B452" s="13" t="s">
        <v>100</v>
      </c>
      <c r="C452" s="12" t="s">
        <v>46</v>
      </c>
      <c r="D452" s="13" t="s">
        <v>107</v>
      </c>
      <c r="E452" s="13" t="s">
        <v>117</v>
      </c>
      <c r="F452" s="12" t="n">
        <v>94</v>
      </c>
      <c r="G452" s="14" t="n">
        <v>2000</v>
      </c>
      <c r="H452" s="14" t="n">
        <v>188000</v>
      </c>
      <c r="I452" s="15" t="n">
        <v>2</v>
      </c>
      <c r="J452" s="16" t="n">
        <f aca="false">H452*(1-I452/100)</f>
        <v>184240</v>
      </c>
      <c r="K452" s="12" t="n">
        <v>1</v>
      </c>
      <c r="L452" s="12" t="s">
        <v>66</v>
      </c>
      <c r="M452" s="12" t="s">
        <v>50</v>
      </c>
    </row>
    <row r="453" customFormat="false" ht="15" hidden="false" customHeight="true" outlineLevel="0" collapsed="false">
      <c r="A453" s="17" t="s">
        <v>548</v>
      </c>
      <c r="B453" s="18" t="s">
        <v>68</v>
      </c>
      <c r="C453" s="17" t="s">
        <v>79</v>
      </c>
      <c r="D453" s="18" t="s">
        <v>64</v>
      </c>
      <c r="E453" s="18" t="s">
        <v>83</v>
      </c>
      <c r="F453" s="17" t="n">
        <v>366</v>
      </c>
      <c r="G453" s="19" t="n">
        <v>5000</v>
      </c>
      <c r="H453" s="19" t="n">
        <v>1830000</v>
      </c>
      <c r="I453" s="20" t="n">
        <v>12</v>
      </c>
      <c r="J453" s="21" t="n">
        <f aca="false">H453*(1-I453/100)</f>
        <v>1610400</v>
      </c>
      <c r="K453" s="17" t="n">
        <v>12</v>
      </c>
      <c r="L453" s="17" t="s">
        <v>49</v>
      </c>
      <c r="M453" s="17" t="s">
        <v>61</v>
      </c>
    </row>
    <row r="454" customFormat="false" ht="15" hidden="false" customHeight="true" outlineLevel="0" collapsed="false">
      <c r="A454" s="12" t="s">
        <v>549</v>
      </c>
      <c r="B454" s="13" t="s">
        <v>141</v>
      </c>
      <c r="C454" s="12" t="s">
        <v>81</v>
      </c>
      <c r="D454" s="13" t="s">
        <v>64</v>
      </c>
      <c r="E454" s="13" t="s">
        <v>85</v>
      </c>
      <c r="F454" s="12" t="n">
        <v>35</v>
      </c>
      <c r="G454" s="14" t="n">
        <v>2000</v>
      </c>
      <c r="H454" s="14" t="n">
        <v>70000</v>
      </c>
      <c r="I454" s="15" t="n">
        <v>10</v>
      </c>
      <c r="J454" s="16" t="n">
        <f aca="false">H454*(1-I454/100)</f>
        <v>63000</v>
      </c>
      <c r="K454" s="12" t="n">
        <v>9</v>
      </c>
      <c r="L454" s="12" t="s">
        <v>74</v>
      </c>
      <c r="M454" s="12" t="s">
        <v>61</v>
      </c>
    </row>
    <row r="455" customFormat="false" ht="15" hidden="false" customHeight="true" outlineLevel="0" collapsed="false">
      <c r="A455" s="17" t="s">
        <v>550</v>
      </c>
      <c r="B455" s="18" t="s">
        <v>89</v>
      </c>
      <c r="C455" s="17" t="s">
        <v>46</v>
      </c>
      <c r="D455" s="18" t="s">
        <v>95</v>
      </c>
      <c r="E455" s="18" t="s">
        <v>122</v>
      </c>
      <c r="F455" s="17" t="n">
        <v>228</v>
      </c>
      <c r="G455" s="19" t="n">
        <v>350</v>
      </c>
      <c r="H455" s="19" t="n">
        <v>79800</v>
      </c>
      <c r="I455" s="20" t="n">
        <v>5</v>
      </c>
      <c r="J455" s="21" t="n">
        <f aca="false">H455*(1-I455/100)</f>
        <v>75810</v>
      </c>
      <c r="K455" s="17" t="n">
        <v>11</v>
      </c>
      <c r="L455" s="17" t="s">
        <v>49</v>
      </c>
      <c r="M455" s="17" t="s">
        <v>61</v>
      </c>
    </row>
    <row r="456" customFormat="false" ht="15" hidden="false" customHeight="true" outlineLevel="0" collapsed="false">
      <c r="A456" s="12" t="s">
        <v>551</v>
      </c>
      <c r="B456" s="13" t="s">
        <v>87</v>
      </c>
      <c r="C456" s="12" t="s">
        <v>46</v>
      </c>
      <c r="D456" s="13" t="s">
        <v>59</v>
      </c>
      <c r="E456" s="13" t="s">
        <v>131</v>
      </c>
      <c r="F456" s="12" t="n">
        <v>97</v>
      </c>
      <c r="G456" s="14" t="n">
        <v>1000</v>
      </c>
      <c r="H456" s="14" t="n">
        <v>97000</v>
      </c>
      <c r="I456" s="15" t="n">
        <v>0</v>
      </c>
      <c r="J456" s="16" t="n">
        <f aca="false">H456*(1-I456/100)</f>
        <v>97000</v>
      </c>
      <c r="K456" s="12" t="n">
        <v>8</v>
      </c>
      <c r="L456" s="12" t="s">
        <v>74</v>
      </c>
      <c r="M456" s="12" t="s">
        <v>50</v>
      </c>
    </row>
    <row r="457" customFormat="false" ht="15" hidden="false" customHeight="true" outlineLevel="0" collapsed="false">
      <c r="A457" s="17" t="s">
        <v>552</v>
      </c>
      <c r="B457" s="18" t="s">
        <v>141</v>
      </c>
      <c r="C457" s="17" t="s">
        <v>72</v>
      </c>
      <c r="D457" s="18" t="s">
        <v>107</v>
      </c>
      <c r="E457" s="18" t="s">
        <v>135</v>
      </c>
      <c r="F457" s="17" t="n">
        <v>468</v>
      </c>
      <c r="G457" s="19" t="n">
        <v>1000</v>
      </c>
      <c r="H457" s="19" t="n">
        <v>468000</v>
      </c>
      <c r="I457" s="20" t="n">
        <v>0</v>
      </c>
      <c r="J457" s="21" t="n">
        <f aca="false">H457*(1-I457/100)</f>
        <v>468000</v>
      </c>
      <c r="K457" s="17" t="n">
        <v>11</v>
      </c>
      <c r="L457" s="17" t="s">
        <v>49</v>
      </c>
      <c r="M457" s="17" t="s">
        <v>61</v>
      </c>
    </row>
    <row r="458" customFormat="false" ht="15" hidden="false" customHeight="true" outlineLevel="0" collapsed="false">
      <c r="A458" s="12" t="s">
        <v>553</v>
      </c>
      <c r="B458" s="13" t="s">
        <v>120</v>
      </c>
      <c r="C458" s="12" t="s">
        <v>81</v>
      </c>
      <c r="D458" s="13" t="s">
        <v>107</v>
      </c>
      <c r="E458" s="13" t="s">
        <v>135</v>
      </c>
      <c r="F458" s="12" t="n">
        <v>105</v>
      </c>
      <c r="G458" s="14" t="n">
        <v>3000</v>
      </c>
      <c r="H458" s="14" t="n">
        <v>315000</v>
      </c>
      <c r="I458" s="15" t="n">
        <v>0</v>
      </c>
      <c r="J458" s="16" t="n">
        <f aca="false">H458*(1-I458/100)</f>
        <v>315000</v>
      </c>
      <c r="K458" s="12" t="n">
        <v>5</v>
      </c>
      <c r="L458" s="12" t="s">
        <v>55</v>
      </c>
      <c r="M458" s="12" t="s">
        <v>61</v>
      </c>
    </row>
    <row r="459" customFormat="false" ht="15" hidden="false" customHeight="true" outlineLevel="0" collapsed="false">
      <c r="A459" s="17" t="s">
        <v>554</v>
      </c>
      <c r="B459" s="18" t="s">
        <v>106</v>
      </c>
      <c r="C459" s="17" t="s">
        <v>81</v>
      </c>
      <c r="D459" s="18" t="s">
        <v>64</v>
      </c>
      <c r="E459" s="18" t="s">
        <v>83</v>
      </c>
      <c r="F459" s="17" t="n">
        <v>298</v>
      </c>
      <c r="G459" s="19" t="n">
        <v>250</v>
      </c>
      <c r="H459" s="19" t="n">
        <v>74500</v>
      </c>
      <c r="I459" s="20" t="n">
        <v>2</v>
      </c>
      <c r="J459" s="21" t="n">
        <f aca="false">H459*(1-I459/100)</f>
        <v>73010</v>
      </c>
      <c r="K459" s="17" t="n">
        <v>12</v>
      </c>
      <c r="L459" s="17" t="s">
        <v>49</v>
      </c>
      <c r="M459" s="17" t="s">
        <v>50</v>
      </c>
    </row>
    <row r="460" customFormat="false" ht="15" hidden="false" customHeight="true" outlineLevel="0" collapsed="false">
      <c r="A460" s="12" t="s">
        <v>555</v>
      </c>
      <c r="B460" s="13" t="s">
        <v>78</v>
      </c>
      <c r="C460" s="12" t="s">
        <v>81</v>
      </c>
      <c r="D460" s="13" t="s">
        <v>53</v>
      </c>
      <c r="E460" s="13" t="s">
        <v>54</v>
      </c>
      <c r="F460" s="12" t="n">
        <v>397</v>
      </c>
      <c r="G460" s="14" t="n">
        <v>750</v>
      </c>
      <c r="H460" s="14" t="n">
        <v>297750</v>
      </c>
      <c r="I460" s="15" t="n">
        <v>10</v>
      </c>
      <c r="J460" s="16" t="n">
        <f aca="false">H460*(1-I460/100)</f>
        <v>267975</v>
      </c>
      <c r="K460" s="12" t="n">
        <v>1</v>
      </c>
      <c r="L460" s="12" t="s">
        <v>66</v>
      </c>
      <c r="M460" s="12" t="s">
        <v>61</v>
      </c>
    </row>
    <row r="461" customFormat="false" ht="15" hidden="false" customHeight="true" outlineLevel="0" collapsed="false">
      <c r="A461" s="17" t="s">
        <v>556</v>
      </c>
      <c r="B461" s="18" t="s">
        <v>57</v>
      </c>
      <c r="C461" s="17" t="s">
        <v>72</v>
      </c>
      <c r="D461" s="18" t="s">
        <v>53</v>
      </c>
      <c r="E461" s="18" t="s">
        <v>129</v>
      </c>
      <c r="F461" s="17" t="n">
        <v>453</v>
      </c>
      <c r="G461" s="19" t="n">
        <v>3000</v>
      </c>
      <c r="H461" s="19" t="n">
        <v>1359000</v>
      </c>
      <c r="I461" s="20" t="n">
        <v>10</v>
      </c>
      <c r="J461" s="21" t="n">
        <f aca="false">H461*(1-I461/100)</f>
        <v>1223100</v>
      </c>
      <c r="K461" s="17" t="n">
        <v>4</v>
      </c>
      <c r="L461" s="17" t="s">
        <v>55</v>
      </c>
      <c r="M461" s="17" t="s">
        <v>61</v>
      </c>
    </row>
    <row r="462" customFormat="false" ht="15" hidden="false" customHeight="true" outlineLevel="0" collapsed="false">
      <c r="A462" s="12" t="s">
        <v>557</v>
      </c>
      <c r="B462" s="13" t="s">
        <v>141</v>
      </c>
      <c r="C462" s="12" t="s">
        <v>46</v>
      </c>
      <c r="D462" s="13" t="s">
        <v>107</v>
      </c>
      <c r="E462" s="13" t="s">
        <v>117</v>
      </c>
      <c r="F462" s="12" t="n">
        <v>27</v>
      </c>
      <c r="G462" s="14" t="n">
        <v>5000</v>
      </c>
      <c r="H462" s="14" t="n">
        <v>135000</v>
      </c>
      <c r="I462" s="15" t="n">
        <v>10</v>
      </c>
      <c r="J462" s="16" t="n">
        <f aca="false">H462*(1-I462/100)</f>
        <v>121500</v>
      </c>
      <c r="K462" s="12" t="n">
        <v>9</v>
      </c>
      <c r="L462" s="12" t="s">
        <v>74</v>
      </c>
      <c r="M462" s="12" t="s">
        <v>50</v>
      </c>
    </row>
    <row r="463" customFormat="false" ht="15" hidden="false" customHeight="true" outlineLevel="0" collapsed="false">
      <c r="A463" s="17" t="s">
        <v>558</v>
      </c>
      <c r="B463" s="18" t="s">
        <v>45</v>
      </c>
      <c r="C463" s="17" t="s">
        <v>72</v>
      </c>
      <c r="D463" s="18" t="s">
        <v>64</v>
      </c>
      <c r="E463" s="18" t="s">
        <v>85</v>
      </c>
      <c r="F463" s="17" t="n">
        <v>118</v>
      </c>
      <c r="G463" s="19" t="n">
        <v>750</v>
      </c>
      <c r="H463" s="19" t="n">
        <v>88500</v>
      </c>
      <c r="I463" s="20" t="n">
        <v>2</v>
      </c>
      <c r="J463" s="21" t="n">
        <f aca="false">H463*(1-I463/100)</f>
        <v>86730</v>
      </c>
      <c r="K463" s="17" t="n">
        <v>1</v>
      </c>
      <c r="L463" s="17" t="s">
        <v>66</v>
      </c>
      <c r="M463" s="17" t="s">
        <v>61</v>
      </c>
    </row>
    <row r="464" customFormat="false" ht="15" hidden="false" customHeight="true" outlineLevel="0" collapsed="false">
      <c r="A464" s="12" t="s">
        <v>559</v>
      </c>
      <c r="B464" s="13" t="s">
        <v>78</v>
      </c>
      <c r="C464" s="12" t="s">
        <v>72</v>
      </c>
      <c r="D464" s="13" t="s">
        <v>64</v>
      </c>
      <c r="E464" s="13" t="s">
        <v>65</v>
      </c>
      <c r="F464" s="12" t="n">
        <v>85</v>
      </c>
      <c r="G464" s="14" t="n">
        <v>1000</v>
      </c>
      <c r="H464" s="14" t="n">
        <v>85000</v>
      </c>
      <c r="I464" s="15" t="n">
        <v>5</v>
      </c>
      <c r="J464" s="16" t="n">
        <f aca="false">H464*(1-I464/100)</f>
        <v>80750</v>
      </c>
      <c r="K464" s="12" t="n">
        <v>12</v>
      </c>
      <c r="L464" s="12" t="s">
        <v>49</v>
      </c>
      <c r="M464" s="12" t="s">
        <v>50</v>
      </c>
    </row>
    <row r="465" customFormat="false" ht="15" hidden="false" customHeight="true" outlineLevel="0" collapsed="false">
      <c r="A465" s="17" t="s">
        <v>560</v>
      </c>
      <c r="B465" s="18" t="s">
        <v>78</v>
      </c>
      <c r="C465" s="17" t="s">
        <v>72</v>
      </c>
      <c r="D465" s="18" t="s">
        <v>53</v>
      </c>
      <c r="E465" s="18" t="s">
        <v>54</v>
      </c>
      <c r="F465" s="17" t="n">
        <v>292</v>
      </c>
      <c r="G465" s="19" t="n">
        <v>1500</v>
      </c>
      <c r="H465" s="19" t="n">
        <v>438000</v>
      </c>
      <c r="I465" s="20" t="n">
        <v>15</v>
      </c>
      <c r="J465" s="21" t="n">
        <f aca="false">H465*(1-I465/100)</f>
        <v>372300</v>
      </c>
      <c r="K465" s="17" t="n">
        <v>5</v>
      </c>
      <c r="L465" s="17" t="s">
        <v>55</v>
      </c>
      <c r="M465" s="17" t="s">
        <v>61</v>
      </c>
    </row>
    <row r="466" customFormat="false" ht="15" hidden="false" customHeight="true" outlineLevel="0" collapsed="false">
      <c r="A466" s="12" t="s">
        <v>561</v>
      </c>
      <c r="B466" s="13" t="s">
        <v>128</v>
      </c>
      <c r="C466" s="12" t="s">
        <v>58</v>
      </c>
      <c r="D466" s="13" t="s">
        <v>53</v>
      </c>
      <c r="E466" s="13" t="s">
        <v>129</v>
      </c>
      <c r="F466" s="12" t="n">
        <v>410</v>
      </c>
      <c r="G466" s="14" t="n">
        <v>2000</v>
      </c>
      <c r="H466" s="14" t="n">
        <v>820000</v>
      </c>
      <c r="I466" s="15" t="n">
        <v>0</v>
      </c>
      <c r="J466" s="16" t="n">
        <f aca="false">H466*(1-I466/100)</f>
        <v>820000</v>
      </c>
      <c r="K466" s="12" t="n">
        <v>7</v>
      </c>
      <c r="L466" s="12" t="s">
        <v>74</v>
      </c>
      <c r="M466" s="12" t="s">
        <v>50</v>
      </c>
    </row>
    <row r="467" customFormat="false" ht="15" hidden="false" customHeight="true" outlineLevel="0" collapsed="false">
      <c r="A467" s="17" t="s">
        <v>562</v>
      </c>
      <c r="B467" s="18" t="s">
        <v>89</v>
      </c>
      <c r="C467" s="17" t="s">
        <v>58</v>
      </c>
      <c r="D467" s="18" t="s">
        <v>53</v>
      </c>
      <c r="E467" s="18" t="s">
        <v>129</v>
      </c>
      <c r="F467" s="17" t="n">
        <v>398</v>
      </c>
      <c r="G467" s="19" t="n">
        <v>350</v>
      </c>
      <c r="H467" s="19" t="n">
        <v>139300</v>
      </c>
      <c r="I467" s="20" t="n">
        <v>0</v>
      </c>
      <c r="J467" s="21" t="n">
        <f aca="false">H467*(1-I467/100)</f>
        <v>139300</v>
      </c>
      <c r="K467" s="17" t="n">
        <v>10</v>
      </c>
      <c r="L467" s="17" t="s">
        <v>49</v>
      </c>
      <c r="M467" s="17" t="s">
        <v>50</v>
      </c>
    </row>
    <row r="468" customFormat="false" ht="15" hidden="false" customHeight="true" outlineLevel="0" collapsed="false">
      <c r="A468" s="12" t="s">
        <v>563</v>
      </c>
      <c r="B468" s="13" t="s">
        <v>141</v>
      </c>
      <c r="C468" s="12" t="s">
        <v>58</v>
      </c>
      <c r="D468" s="13" t="s">
        <v>95</v>
      </c>
      <c r="E468" s="13" t="s">
        <v>96</v>
      </c>
      <c r="F468" s="12" t="n">
        <v>145</v>
      </c>
      <c r="G468" s="14" t="n">
        <v>2000</v>
      </c>
      <c r="H468" s="14" t="n">
        <v>290000</v>
      </c>
      <c r="I468" s="15" t="n">
        <v>12</v>
      </c>
      <c r="J468" s="16" t="n">
        <f aca="false">H468*(1-I468/100)</f>
        <v>255200</v>
      </c>
      <c r="K468" s="12" t="n">
        <v>8</v>
      </c>
      <c r="L468" s="12" t="s">
        <v>74</v>
      </c>
      <c r="M468" s="12" t="s">
        <v>61</v>
      </c>
    </row>
    <row r="469" customFormat="false" ht="15" hidden="false" customHeight="true" outlineLevel="0" collapsed="false">
      <c r="A469" s="17" t="s">
        <v>564</v>
      </c>
      <c r="B469" s="18" t="s">
        <v>71</v>
      </c>
      <c r="C469" s="17" t="s">
        <v>79</v>
      </c>
      <c r="D469" s="18" t="s">
        <v>95</v>
      </c>
      <c r="E469" s="18" t="s">
        <v>96</v>
      </c>
      <c r="F469" s="17" t="n">
        <v>83</v>
      </c>
      <c r="G469" s="19" t="n">
        <v>2000</v>
      </c>
      <c r="H469" s="19" t="n">
        <v>166000</v>
      </c>
      <c r="I469" s="20" t="n">
        <v>0</v>
      </c>
      <c r="J469" s="21" t="n">
        <f aca="false">H469*(1-I469/100)</f>
        <v>166000</v>
      </c>
      <c r="K469" s="17" t="n">
        <v>7</v>
      </c>
      <c r="L469" s="17" t="s">
        <v>74</v>
      </c>
      <c r="M469" s="17" t="s">
        <v>61</v>
      </c>
    </row>
    <row r="470" customFormat="false" ht="15" hidden="false" customHeight="true" outlineLevel="0" collapsed="false">
      <c r="A470" s="12" t="s">
        <v>565</v>
      </c>
      <c r="B470" s="13" t="s">
        <v>111</v>
      </c>
      <c r="C470" s="12" t="s">
        <v>46</v>
      </c>
      <c r="D470" s="13" t="s">
        <v>47</v>
      </c>
      <c r="E470" s="13" t="s">
        <v>48</v>
      </c>
      <c r="F470" s="12" t="n">
        <v>481</v>
      </c>
      <c r="G470" s="14" t="n">
        <v>1000</v>
      </c>
      <c r="H470" s="14" t="n">
        <v>481000</v>
      </c>
      <c r="I470" s="15" t="n">
        <v>5</v>
      </c>
      <c r="J470" s="16" t="n">
        <f aca="false">H470*(1-I470/100)</f>
        <v>456950</v>
      </c>
      <c r="K470" s="12" t="n">
        <v>1</v>
      </c>
      <c r="L470" s="12" t="s">
        <v>66</v>
      </c>
      <c r="M470" s="12" t="s">
        <v>61</v>
      </c>
    </row>
    <row r="471" customFormat="false" ht="15" hidden="false" customHeight="true" outlineLevel="0" collapsed="false">
      <c r="A471" s="17" t="s">
        <v>566</v>
      </c>
      <c r="B471" s="18" t="s">
        <v>141</v>
      </c>
      <c r="C471" s="17" t="s">
        <v>81</v>
      </c>
      <c r="D471" s="18" t="s">
        <v>95</v>
      </c>
      <c r="E471" s="18" t="s">
        <v>96</v>
      </c>
      <c r="F471" s="17" t="n">
        <v>449</v>
      </c>
      <c r="G471" s="19" t="n">
        <v>350</v>
      </c>
      <c r="H471" s="19" t="n">
        <v>157150</v>
      </c>
      <c r="I471" s="20" t="n">
        <v>15</v>
      </c>
      <c r="J471" s="21" t="n">
        <f aca="false">H471*(1-I471/100)</f>
        <v>133577.5</v>
      </c>
      <c r="K471" s="17" t="n">
        <v>4</v>
      </c>
      <c r="L471" s="17" t="s">
        <v>55</v>
      </c>
      <c r="M471" s="17" t="s">
        <v>50</v>
      </c>
    </row>
    <row r="472" customFormat="false" ht="15" hidden="false" customHeight="true" outlineLevel="0" collapsed="false">
      <c r="A472" s="12" t="s">
        <v>567</v>
      </c>
      <c r="B472" s="13" t="s">
        <v>141</v>
      </c>
      <c r="C472" s="12" t="s">
        <v>72</v>
      </c>
      <c r="D472" s="13" t="s">
        <v>95</v>
      </c>
      <c r="E472" s="13" t="s">
        <v>96</v>
      </c>
      <c r="F472" s="12" t="n">
        <v>383</v>
      </c>
      <c r="G472" s="14" t="n">
        <v>2000</v>
      </c>
      <c r="H472" s="14" t="n">
        <v>766000</v>
      </c>
      <c r="I472" s="15" t="n">
        <v>10</v>
      </c>
      <c r="J472" s="16" t="n">
        <f aca="false">H472*(1-I472/100)</f>
        <v>689400</v>
      </c>
      <c r="K472" s="12" t="n">
        <v>11</v>
      </c>
      <c r="L472" s="12" t="s">
        <v>49</v>
      </c>
      <c r="M472" s="12" t="s">
        <v>50</v>
      </c>
    </row>
    <row r="473" customFormat="false" ht="15" hidden="false" customHeight="true" outlineLevel="0" collapsed="false">
      <c r="A473" s="17" t="s">
        <v>568</v>
      </c>
      <c r="B473" s="18" t="s">
        <v>87</v>
      </c>
      <c r="C473" s="17" t="s">
        <v>72</v>
      </c>
      <c r="D473" s="18" t="s">
        <v>64</v>
      </c>
      <c r="E473" s="18" t="s">
        <v>83</v>
      </c>
      <c r="F473" s="17" t="n">
        <v>389</v>
      </c>
      <c r="G473" s="19" t="n">
        <v>3000</v>
      </c>
      <c r="H473" s="19" t="n">
        <v>1167000</v>
      </c>
      <c r="I473" s="20" t="n">
        <v>15</v>
      </c>
      <c r="J473" s="21" t="n">
        <f aca="false">H473*(1-I473/100)</f>
        <v>991950</v>
      </c>
      <c r="K473" s="17" t="n">
        <v>9</v>
      </c>
      <c r="L473" s="17" t="s">
        <v>74</v>
      </c>
      <c r="M473" s="17" t="s">
        <v>61</v>
      </c>
    </row>
    <row r="474" customFormat="false" ht="15" hidden="false" customHeight="true" outlineLevel="0" collapsed="false">
      <c r="A474" s="12" t="s">
        <v>569</v>
      </c>
      <c r="B474" s="13" t="s">
        <v>71</v>
      </c>
      <c r="C474" s="12" t="s">
        <v>58</v>
      </c>
      <c r="D474" s="13" t="s">
        <v>64</v>
      </c>
      <c r="E474" s="13" t="s">
        <v>85</v>
      </c>
      <c r="F474" s="12" t="n">
        <v>169</v>
      </c>
      <c r="G474" s="14" t="n">
        <v>5000</v>
      </c>
      <c r="H474" s="14" t="n">
        <v>845000</v>
      </c>
      <c r="I474" s="15" t="n">
        <v>8</v>
      </c>
      <c r="J474" s="16" t="n">
        <f aca="false">H474*(1-I474/100)</f>
        <v>777400</v>
      </c>
      <c r="K474" s="12" t="n">
        <v>3</v>
      </c>
      <c r="L474" s="12" t="s">
        <v>66</v>
      </c>
      <c r="M474" s="12" t="s">
        <v>50</v>
      </c>
    </row>
    <row r="475" customFormat="false" ht="15" hidden="false" customHeight="true" outlineLevel="0" collapsed="false">
      <c r="A475" s="17" t="s">
        <v>570</v>
      </c>
      <c r="B475" s="18" t="s">
        <v>120</v>
      </c>
      <c r="C475" s="17" t="s">
        <v>79</v>
      </c>
      <c r="D475" s="18" t="s">
        <v>64</v>
      </c>
      <c r="E475" s="18" t="s">
        <v>85</v>
      </c>
      <c r="F475" s="17" t="n">
        <v>137</v>
      </c>
      <c r="G475" s="19" t="n">
        <v>250</v>
      </c>
      <c r="H475" s="19" t="n">
        <v>34250</v>
      </c>
      <c r="I475" s="20" t="n">
        <v>8</v>
      </c>
      <c r="J475" s="21" t="n">
        <f aca="false">H475*(1-I475/100)</f>
        <v>31510</v>
      </c>
      <c r="K475" s="17" t="n">
        <v>1</v>
      </c>
      <c r="L475" s="17" t="s">
        <v>66</v>
      </c>
      <c r="M475" s="17" t="s">
        <v>61</v>
      </c>
    </row>
    <row r="476" customFormat="false" ht="15" hidden="false" customHeight="true" outlineLevel="0" collapsed="false">
      <c r="A476" s="12" t="s">
        <v>571</v>
      </c>
      <c r="B476" s="13" t="s">
        <v>87</v>
      </c>
      <c r="C476" s="12" t="s">
        <v>81</v>
      </c>
      <c r="D476" s="13" t="s">
        <v>95</v>
      </c>
      <c r="E476" s="13" t="s">
        <v>96</v>
      </c>
      <c r="F476" s="12" t="n">
        <v>268</v>
      </c>
      <c r="G476" s="14" t="n">
        <v>2000</v>
      </c>
      <c r="H476" s="14" t="n">
        <v>536000</v>
      </c>
      <c r="I476" s="15" t="n">
        <v>12</v>
      </c>
      <c r="J476" s="16" t="n">
        <f aca="false">H476*(1-I476/100)</f>
        <v>471680</v>
      </c>
      <c r="K476" s="12" t="n">
        <v>2</v>
      </c>
      <c r="L476" s="12" t="s">
        <v>66</v>
      </c>
      <c r="M476" s="12" t="s">
        <v>50</v>
      </c>
    </row>
    <row r="477" customFormat="false" ht="15" hidden="false" customHeight="true" outlineLevel="0" collapsed="false">
      <c r="A477" s="17" t="s">
        <v>572</v>
      </c>
      <c r="B477" s="18" t="s">
        <v>111</v>
      </c>
      <c r="C477" s="17" t="s">
        <v>81</v>
      </c>
      <c r="D477" s="18" t="s">
        <v>107</v>
      </c>
      <c r="E477" s="18" t="s">
        <v>117</v>
      </c>
      <c r="F477" s="17" t="n">
        <v>238</v>
      </c>
      <c r="G477" s="19" t="n">
        <v>500</v>
      </c>
      <c r="H477" s="19" t="n">
        <v>119000</v>
      </c>
      <c r="I477" s="20" t="n">
        <v>15</v>
      </c>
      <c r="J477" s="21" t="n">
        <f aca="false">H477*(1-I477/100)</f>
        <v>101150</v>
      </c>
      <c r="K477" s="17" t="n">
        <v>8</v>
      </c>
      <c r="L477" s="17" t="s">
        <v>74</v>
      </c>
      <c r="M477" s="17" t="s">
        <v>61</v>
      </c>
    </row>
    <row r="478" customFormat="false" ht="15" hidden="false" customHeight="true" outlineLevel="0" collapsed="false">
      <c r="A478" s="12" t="s">
        <v>573</v>
      </c>
      <c r="B478" s="13" t="s">
        <v>76</v>
      </c>
      <c r="C478" s="12" t="s">
        <v>79</v>
      </c>
      <c r="D478" s="13" t="s">
        <v>95</v>
      </c>
      <c r="E478" s="13" t="s">
        <v>139</v>
      </c>
      <c r="F478" s="12" t="n">
        <v>435</v>
      </c>
      <c r="G478" s="14" t="n">
        <v>350</v>
      </c>
      <c r="H478" s="14" t="n">
        <v>152250</v>
      </c>
      <c r="I478" s="15" t="n">
        <v>5</v>
      </c>
      <c r="J478" s="16" t="n">
        <f aca="false">H478*(1-I478/100)</f>
        <v>144637.5</v>
      </c>
      <c r="K478" s="12" t="n">
        <v>1</v>
      </c>
      <c r="L478" s="12" t="s">
        <v>66</v>
      </c>
      <c r="M478" s="12" t="s">
        <v>61</v>
      </c>
    </row>
    <row r="479" customFormat="false" ht="15" hidden="false" customHeight="true" outlineLevel="0" collapsed="false">
      <c r="A479" s="17" t="s">
        <v>574</v>
      </c>
      <c r="B479" s="18" t="s">
        <v>71</v>
      </c>
      <c r="C479" s="17" t="s">
        <v>79</v>
      </c>
      <c r="D479" s="18" t="s">
        <v>53</v>
      </c>
      <c r="E479" s="18" t="s">
        <v>73</v>
      </c>
      <c r="F479" s="17" t="n">
        <v>448</v>
      </c>
      <c r="G479" s="19" t="n">
        <v>750</v>
      </c>
      <c r="H479" s="19" t="n">
        <v>336000</v>
      </c>
      <c r="I479" s="20" t="n">
        <v>12</v>
      </c>
      <c r="J479" s="21" t="n">
        <f aca="false">H479*(1-I479/100)</f>
        <v>295680</v>
      </c>
      <c r="K479" s="17" t="n">
        <v>4</v>
      </c>
      <c r="L479" s="17" t="s">
        <v>55</v>
      </c>
      <c r="M479" s="17" t="s">
        <v>50</v>
      </c>
    </row>
    <row r="480" customFormat="false" ht="15" hidden="false" customHeight="true" outlineLevel="0" collapsed="false">
      <c r="A480" s="12" t="s">
        <v>575</v>
      </c>
      <c r="B480" s="13" t="s">
        <v>63</v>
      </c>
      <c r="C480" s="12" t="s">
        <v>72</v>
      </c>
      <c r="D480" s="13" t="s">
        <v>53</v>
      </c>
      <c r="E480" s="13" t="s">
        <v>73</v>
      </c>
      <c r="F480" s="12" t="n">
        <v>452</v>
      </c>
      <c r="G480" s="14" t="n">
        <v>250</v>
      </c>
      <c r="H480" s="14" t="n">
        <v>113000</v>
      </c>
      <c r="I480" s="15" t="n">
        <v>8</v>
      </c>
      <c r="J480" s="16" t="n">
        <f aca="false">H480*(1-I480/100)</f>
        <v>103960</v>
      </c>
      <c r="K480" s="12" t="n">
        <v>3</v>
      </c>
      <c r="L480" s="12" t="s">
        <v>66</v>
      </c>
      <c r="M480" s="12" t="s">
        <v>50</v>
      </c>
    </row>
    <row r="481" customFormat="false" ht="15" hidden="false" customHeight="true" outlineLevel="0" collapsed="false">
      <c r="A481" s="17" t="s">
        <v>576</v>
      </c>
      <c r="B481" s="18" t="s">
        <v>128</v>
      </c>
      <c r="C481" s="17" t="s">
        <v>79</v>
      </c>
      <c r="D481" s="18" t="s">
        <v>95</v>
      </c>
      <c r="E481" s="18" t="s">
        <v>139</v>
      </c>
      <c r="F481" s="17" t="n">
        <v>422</v>
      </c>
      <c r="G481" s="19" t="n">
        <v>1000</v>
      </c>
      <c r="H481" s="19" t="n">
        <v>422000</v>
      </c>
      <c r="I481" s="20" t="n">
        <v>12</v>
      </c>
      <c r="J481" s="21" t="n">
        <f aca="false">H481*(1-I481/100)</f>
        <v>371360</v>
      </c>
      <c r="K481" s="17" t="n">
        <v>12</v>
      </c>
      <c r="L481" s="17" t="s">
        <v>49</v>
      </c>
      <c r="M481" s="17" t="s">
        <v>61</v>
      </c>
    </row>
    <row r="482" customFormat="false" ht="15" hidden="false" customHeight="true" outlineLevel="0" collapsed="false">
      <c r="A482" s="12" t="s">
        <v>577</v>
      </c>
      <c r="B482" s="13" t="s">
        <v>144</v>
      </c>
      <c r="C482" s="12" t="s">
        <v>72</v>
      </c>
      <c r="D482" s="13" t="s">
        <v>95</v>
      </c>
      <c r="E482" s="13" t="s">
        <v>96</v>
      </c>
      <c r="F482" s="12" t="n">
        <v>139</v>
      </c>
      <c r="G482" s="14" t="n">
        <v>750</v>
      </c>
      <c r="H482" s="14" t="n">
        <v>104250</v>
      </c>
      <c r="I482" s="15" t="n">
        <v>8</v>
      </c>
      <c r="J482" s="16" t="n">
        <f aca="false">H482*(1-I482/100)</f>
        <v>95910</v>
      </c>
      <c r="K482" s="12" t="n">
        <v>5</v>
      </c>
      <c r="L482" s="12" t="s">
        <v>55</v>
      </c>
      <c r="M482" s="12" t="s">
        <v>61</v>
      </c>
    </row>
    <row r="483" customFormat="false" ht="15" hidden="false" customHeight="true" outlineLevel="0" collapsed="false">
      <c r="A483" s="17" t="s">
        <v>578</v>
      </c>
      <c r="B483" s="18" t="s">
        <v>45</v>
      </c>
      <c r="C483" s="17" t="s">
        <v>46</v>
      </c>
      <c r="D483" s="18" t="s">
        <v>53</v>
      </c>
      <c r="E483" s="18" t="s">
        <v>129</v>
      </c>
      <c r="F483" s="17" t="n">
        <v>441</v>
      </c>
      <c r="G483" s="19" t="n">
        <v>1500</v>
      </c>
      <c r="H483" s="19" t="n">
        <v>661500</v>
      </c>
      <c r="I483" s="20" t="n">
        <v>10</v>
      </c>
      <c r="J483" s="21" t="n">
        <f aca="false">H483*(1-I483/100)</f>
        <v>595350</v>
      </c>
      <c r="K483" s="17" t="n">
        <v>11</v>
      </c>
      <c r="L483" s="17" t="s">
        <v>49</v>
      </c>
      <c r="M483" s="17" t="s">
        <v>61</v>
      </c>
    </row>
    <row r="484" customFormat="false" ht="15" hidden="false" customHeight="true" outlineLevel="0" collapsed="false">
      <c r="A484" s="12" t="s">
        <v>579</v>
      </c>
      <c r="B484" s="13" t="s">
        <v>141</v>
      </c>
      <c r="C484" s="12" t="s">
        <v>46</v>
      </c>
      <c r="D484" s="13" t="s">
        <v>107</v>
      </c>
      <c r="E484" s="13" t="s">
        <v>108</v>
      </c>
      <c r="F484" s="12" t="n">
        <v>182</v>
      </c>
      <c r="G484" s="14" t="n">
        <v>1000</v>
      </c>
      <c r="H484" s="14" t="n">
        <v>182000</v>
      </c>
      <c r="I484" s="15" t="n">
        <v>12</v>
      </c>
      <c r="J484" s="16" t="n">
        <f aca="false">H484*(1-I484/100)</f>
        <v>160160</v>
      </c>
      <c r="K484" s="12" t="n">
        <v>6</v>
      </c>
      <c r="L484" s="12" t="s">
        <v>55</v>
      </c>
      <c r="M484" s="12" t="s">
        <v>61</v>
      </c>
    </row>
    <row r="485" customFormat="false" ht="15" hidden="false" customHeight="true" outlineLevel="0" collapsed="false">
      <c r="A485" s="17" t="s">
        <v>580</v>
      </c>
      <c r="B485" s="18" t="s">
        <v>63</v>
      </c>
      <c r="C485" s="17" t="s">
        <v>81</v>
      </c>
      <c r="D485" s="18" t="s">
        <v>64</v>
      </c>
      <c r="E485" s="18" t="s">
        <v>85</v>
      </c>
      <c r="F485" s="17" t="n">
        <v>274</v>
      </c>
      <c r="G485" s="19" t="n">
        <v>750</v>
      </c>
      <c r="H485" s="19" t="n">
        <v>205500</v>
      </c>
      <c r="I485" s="20" t="n">
        <v>0</v>
      </c>
      <c r="J485" s="21" t="n">
        <f aca="false">H485*(1-I485/100)</f>
        <v>205500</v>
      </c>
      <c r="K485" s="17" t="n">
        <v>10</v>
      </c>
      <c r="L485" s="17" t="s">
        <v>49</v>
      </c>
      <c r="M485" s="17" t="s">
        <v>61</v>
      </c>
    </row>
    <row r="486" customFormat="false" ht="15" hidden="false" customHeight="true" outlineLevel="0" collapsed="false">
      <c r="A486" s="12" t="s">
        <v>581</v>
      </c>
      <c r="B486" s="13" t="s">
        <v>68</v>
      </c>
      <c r="C486" s="12" t="s">
        <v>79</v>
      </c>
      <c r="D486" s="13" t="s">
        <v>47</v>
      </c>
      <c r="E486" s="13" t="s">
        <v>146</v>
      </c>
      <c r="F486" s="12" t="n">
        <v>345</v>
      </c>
      <c r="G486" s="14" t="n">
        <v>3000</v>
      </c>
      <c r="H486" s="14" t="n">
        <v>1035000</v>
      </c>
      <c r="I486" s="15" t="n">
        <v>5</v>
      </c>
      <c r="J486" s="16" t="n">
        <f aca="false">H486*(1-I486/100)</f>
        <v>983250</v>
      </c>
      <c r="K486" s="12" t="n">
        <v>5</v>
      </c>
      <c r="L486" s="12" t="s">
        <v>55</v>
      </c>
      <c r="M486" s="12" t="s">
        <v>61</v>
      </c>
    </row>
    <row r="487" customFormat="false" ht="15" hidden="false" customHeight="true" outlineLevel="0" collapsed="false">
      <c r="A487" s="17" t="s">
        <v>582</v>
      </c>
      <c r="B487" s="18" t="s">
        <v>91</v>
      </c>
      <c r="C487" s="17" t="s">
        <v>72</v>
      </c>
      <c r="D487" s="18" t="s">
        <v>47</v>
      </c>
      <c r="E487" s="18" t="s">
        <v>146</v>
      </c>
      <c r="F487" s="17" t="n">
        <v>308</v>
      </c>
      <c r="G487" s="19" t="n">
        <v>750</v>
      </c>
      <c r="H487" s="19" t="n">
        <v>231000</v>
      </c>
      <c r="I487" s="20" t="n">
        <v>5</v>
      </c>
      <c r="J487" s="21" t="n">
        <f aca="false">H487*(1-I487/100)</f>
        <v>219450</v>
      </c>
      <c r="K487" s="17" t="n">
        <v>12</v>
      </c>
      <c r="L487" s="17" t="s">
        <v>49</v>
      </c>
      <c r="M487" s="17" t="s">
        <v>50</v>
      </c>
    </row>
    <row r="488" customFormat="false" ht="15" hidden="false" customHeight="true" outlineLevel="0" collapsed="false">
      <c r="A488" s="12" t="s">
        <v>583</v>
      </c>
      <c r="B488" s="13" t="s">
        <v>52</v>
      </c>
      <c r="C488" s="12" t="s">
        <v>72</v>
      </c>
      <c r="D488" s="13" t="s">
        <v>47</v>
      </c>
      <c r="E488" s="13" t="s">
        <v>48</v>
      </c>
      <c r="F488" s="12" t="n">
        <v>269</v>
      </c>
      <c r="G488" s="14" t="n">
        <v>1000</v>
      </c>
      <c r="H488" s="14" t="n">
        <v>269000</v>
      </c>
      <c r="I488" s="15" t="n">
        <v>15</v>
      </c>
      <c r="J488" s="16" t="n">
        <f aca="false">H488*(1-I488/100)</f>
        <v>228650</v>
      </c>
      <c r="K488" s="12" t="n">
        <v>3</v>
      </c>
      <c r="L488" s="12" t="s">
        <v>66</v>
      </c>
      <c r="M488" s="12" t="s">
        <v>50</v>
      </c>
    </row>
    <row r="489" customFormat="false" ht="15" hidden="false" customHeight="true" outlineLevel="0" collapsed="false">
      <c r="A489" s="17" t="s">
        <v>584</v>
      </c>
      <c r="B489" s="18" t="s">
        <v>141</v>
      </c>
      <c r="C489" s="17" t="s">
        <v>46</v>
      </c>
      <c r="D489" s="18" t="s">
        <v>107</v>
      </c>
      <c r="E489" s="18" t="s">
        <v>108</v>
      </c>
      <c r="F489" s="17" t="n">
        <v>389</v>
      </c>
      <c r="G489" s="19" t="n">
        <v>1000</v>
      </c>
      <c r="H489" s="19" t="n">
        <v>389000</v>
      </c>
      <c r="I489" s="20" t="n">
        <v>12</v>
      </c>
      <c r="J489" s="21" t="n">
        <f aca="false">H489*(1-I489/100)</f>
        <v>342320</v>
      </c>
      <c r="K489" s="17" t="n">
        <v>9</v>
      </c>
      <c r="L489" s="17" t="s">
        <v>74</v>
      </c>
      <c r="M489" s="17" t="s">
        <v>50</v>
      </c>
    </row>
    <row r="490" customFormat="false" ht="15" hidden="false" customHeight="true" outlineLevel="0" collapsed="false">
      <c r="A490" s="12" t="s">
        <v>585</v>
      </c>
      <c r="B490" s="13" t="s">
        <v>68</v>
      </c>
      <c r="C490" s="12" t="s">
        <v>46</v>
      </c>
      <c r="D490" s="13" t="s">
        <v>64</v>
      </c>
      <c r="E490" s="13" t="s">
        <v>83</v>
      </c>
      <c r="F490" s="12" t="n">
        <v>124</v>
      </c>
      <c r="G490" s="14" t="n">
        <v>1000</v>
      </c>
      <c r="H490" s="14" t="n">
        <v>124000</v>
      </c>
      <c r="I490" s="15" t="n">
        <v>8</v>
      </c>
      <c r="J490" s="16" t="n">
        <f aca="false">H490*(1-I490/100)</f>
        <v>114080</v>
      </c>
      <c r="K490" s="12" t="n">
        <v>6</v>
      </c>
      <c r="L490" s="12" t="s">
        <v>55</v>
      </c>
      <c r="M490" s="12" t="s">
        <v>61</v>
      </c>
    </row>
    <row r="491" customFormat="false" ht="15" hidden="false" customHeight="true" outlineLevel="0" collapsed="false">
      <c r="A491" s="17" t="s">
        <v>586</v>
      </c>
      <c r="B491" s="18" t="s">
        <v>63</v>
      </c>
      <c r="C491" s="17" t="s">
        <v>58</v>
      </c>
      <c r="D491" s="18" t="s">
        <v>95</v>
      </c>
      <c r="E491" s="18" t="s">
        <v>96</v>
      </c>
      <c r="F491" s="17" t="n">
        <v>445</v>
      </c>
      <c r="G491" s="19" t="n">
        <v>350</v>
      </c>
      <c r="H491" s="19" t="n">
        <v>155750</v>
      </c>
      <c r="I491" s="20" t="n">
        <v>8</v>
      </c>
      <c r="J491" s="21" t="n">
        <f aca="false">H491*(1-I491/100)</f>
        <v>143290</v>
      </c>
      <c r="K491" s="17" t="n">
        <v>1</v>
      </c>
      <c r="L491" s="17" t="s">
        <v>66</v>
      </c>
      <c r="M491" s="17" t="s">
        <v>50</v>
      </c>
    </row>
    <row r="492" customFormat="false" ht="15" hidden="false" customHeight="true" outlineLevel="0" collapsed="false">
      <c r="A492" s="12" t="s">
        <v>587</v>
      </c>
      <c r="B492" s="13" t="s">
        <v>100</v>
      </c>
      <c r="C492" s="12" t="s">
        <v>79</v>
      </c>
      <c r="D492" s="13" t="s">
        <v>53</v>
      </c>
      <c r="E492" s="13" t="s">
        <v>73</v>
      </c>
      <c r="F492" s="12" t="n">
        <v>454</v>
      </c>
      <c r="G492" s="14" t="n">
        <v>2000</v>
      </c>
      <c r="H492" s="14" t="n">
        <v>908000</v>
      </c>
      <c r="I492" s="15" t="n">
        <v>10</v>
      </c>
      <c r="J492" s="16" t="n">
        <f aca="false">H492*(1-I492/100)</f>
        <v>817200</v>
      </c>
      <c r="K492" s="12" t="n">
        <v>5</v>
      </c>
      <c r="L492" s="12" t="s">
        <v>55</v>
      </c>
      <c r="M492" s="12" t="s">
        <v>61</v>
      </c>
    </row>
    <row r="493" customFormat="false" ht="15" hidden="false" customHeight="true" outlineLevel="0" collapsed="false">
      <c r="A493" s="17" t="s">
        <v>588</v>
      </c>
      <c r="B493" s="18" t="s">
        <v>71</v>
      </c>
      <c r="C493" s="17" t="s">
        <v>79</v>
      </c>
      <c r="D493" s="18" t="s">
        <v>64</v>
      </c>
      <c r="E493" s="18" t="s">
        <v>85</v>
      </c>
      <c r="F493" s="17" t="n">
        <v>185</v>
      </c>
      <c r="G493" s="19" t="n">
        <v>2000</v>
      </c>
      <c r="H493" s="19" t="n">
        <v>370000</v>
      </c>
      <c r="I493" s="20" t="n">
        <v>10</v>
      </c>
      <c r="J493" s="21" t="n">
        <f aca="false">H493*(1-I493/100)</f>
        <v>333000</v>
      </c>
      <c r="K493" s="17" t="n">
        <v>8</v>
      </c>
      <c r="L493" s="17" t="s">
        <v>74</v>
      </c>
      <c r="M493" s="17" t="s">
        <v>50</v>
      </c>
    </row>
    <row r="494" customFormat="false" ht="15" hidden="false" customHeight="true" outlineLevel="0" collapsed="false">
      <c r="A494" s="12" t="s">
        <v>589</v>
      </c>
      <c r="B494" s="13" t="s">
        <v>68</v>
      </c>
      <c r="C494" s="12" t="s">
        <v>79</v>
      </c>
      <c r="D494" s="13" t="s">
        <v>59</v>
      </c>
      <c r="E494" s="13" t="s">
        <v>69</v>
      </c>
      <c r="F494" s="12" t="n">
        <v>180</v>
      </c>
      <c r="G494" s="14" t="n">
        <v>500</v>
      </c>
      <c r="H494" s="14" t="n">
        <v>90000</v>
      </c>
      <c r="I494" s="15" t="n">
        <v>5</v>
      </c>
      <c r="J494" s="16" t="n">
        <f aca="false">H494*(1-I494/100)</f>
        <v>85500</v>
      </c>
      <c r="K494" s="12" t="n">
        <v>11</v>
      </c>
      <c r="L494" s="12" t="s">
        <v>49</v>
      </c>
      <c r="M494" s="12" t="s">
        <v>50</v>
      </c>
    </row>
    <row r="495" customFormat="false" ht="15" hidden="false" customHeight="true" outlineLevel="0" collapsed="false">
      <c r="A495" s="17" t="s">
        <v>590</v>
      </c>
      <c r="B495" s="18" t="s">
        <v>128</v>
      </c>
      <c r="C495" s="17" t="s">
        <v>72</v>
      </c>
      <c r="D495" s="18" t="s">
        <v>95</v>
      </c>
      <c r="E495" s="18" t="s">
        <v>122</v>
      </c>
      <c r="F495" s="17" t="n">
        <v>399</v>
      </c>
      <c r="G495" s="19" t="n">
        <v>500</v>
      </c>
      <c r="H495" s="19" t="n">
        <v>199500</v>
      </c>
      <c r="I495" s="20" t="n">
        <v>10</v>
      </c>
      <c r="J495" s="21" t="n">
        <f aca="false">H495*(1-I495/100)</f>
        <v>179550</v>
      </c>
      <c r="K495" s="17" t="n">
        <v>3</v>
      </c>
      <c r="L495" s="17" t="s">
        <v>66</v>
      </c>
      <c r="M495" s="17" t="s">
        <v>61</v>
      </c>
    </row>
    <row r="496" customFormat="false" ht="15" hidden="false" customHeight="true" outlineLevel="0" collapsed="false">
      <c r="A496" s="12" t="s">
        <v>591</v>
      </c>
      <c r="B496" s="13" t="s">
        <v>78</v>
      </c>
      <c r="C496" s="12" t="s">
        <v>79</v>
      </c>
      <c r="D496" s="13" t="s">
        <v>53</v>
      </c>
      <c r="E496" s="13" t="s">
        <v>54</v>
      </c>
      <c r="F496" s="12" t="n">
        <v>334</v>
      </c>
      <c r="G496" s="14" t="n">
        <v>2000</v>
      </c>
      <c r="H496" s="14" t="n">
        <v>668000</v>
      </c>
      <c r="I496" s="15" t="n">
        <v>8</v>
      </c>
      <c r="J496" s="16" t="n">
        <f aca="false">H496*(1-I496/100)</f>
        <v>614560</v>
      </c>
      <c r="K496" s="12" t="n">
        <v>7</v>
      </c>
      <c r="L496" s="12" t="s">
        <v>74</v>
      </c>
      <c r="M496" s="12" t="s">
        <v>61</v>
      </c>
    </row>
    <row r="497" customFormat="false" ht="15" hidden="false" customHeight="true" outlineLevel="0" collapsed="false">
      <c r="A497" s="17" t="s">
        <v>592</v>
      </c>
      <c r="B497" s="18" t="s">
        <v>91</v>
      </c>
      <c r="C497" s="17" t="s">
        <v>46</v>
      </c>
      <c r="D497" s="18" t="s">
        <v>59</v>
      </c>
      <c r="E497" s="18" t="s">
        <v>60</v>
      </c>
      <c r="F497" s="17" t="n">
        <v>112</v>
      </c>
      <c r="G497" s="19" t="n">
        <v>1500</v>
      </c>
      <c r="H497" s="19" t="n">
        <v>168000</v>
      </c>
      <c r="I497" s="20" t="n">
        <v>0</v>
      </c>
      <c r="J497" s="21" t="n">
        <f aca="false">H497*(1-I497/100)</f>
        <v>168000</v>
      </c>
      <c r="K497" s="17" t="n">
        <v>6</v>
      </c>
      <c r="L497" s="17" t="s">
        <v>55</v>
      </c>
      <c r="M497" s="17" t="s">
        <v>50</v>
      </c>
    </row>
    <row r="498" customFormat="false" ht="15" hidden="false" customHeight="true" outlineLevel="0" collapsed="false">
      <c r="A498" s="12" t="s">
        <v>593</v>
      </c>
      <c r="B498" s="13" t="s">
        <v>128</v>
      </c>
      <c r="C498" s="12" t="s">
        <v>46</v>
      </c>
      <c r="D498" s="13" t="s">
        <v>47</v>
      </c>
      <c r="E498" s="13" t="s">
        <v>104</v>
      </c>
      <c r="F498" s="12" t="n">
        <v>137</v>
      </c>
      <c r="G498" s="14" t="n">
        <v>750</v>
      </c>
      <c r="H498" s="14" t="n">
        <v>102750</v>
      </c>
      <c r="I498" s="15" t="n">
        <v>12</v>
      </c>
      <c r="J498" s="16" t="n">
        <f aca="false">H498*(1-I498/100)</f>
        <v>90420</v>
      </c>
      <c r="K498" s="12" t="n">
        <v>6</v>
      </c>
      <c r="L498" s="12" t="s">
        <v>55</v>
      </c>
      <c r="M498" s="12" t="s">
        <v>61</v>
      </c>
    </row>
    <row r="499" customFormat="false" ht="15" hidden="false" customHeight="true" outlineLevel="0" collapsed="false">
      <c r="A499" s="17" t="s">
        <v>594</v>
      </c>
      <c r="B499" s="18" t="s">
        <v>89</v>
      </c>
      <c r="C499" s="17" t="s">
        <v>46</v>
      </c>
      <c r="D499" s="18" t="s">
        <v>107</v>
      </c>
      <c r="E499" s="18" t="s">
        <v>117</v>
      </c>
      <c r="F499" s="17" t="n">
        <v>311</v>
      </c>
      <c r="G499" s="19" t="n">
        <v>1000</v>
      </c>
      <c r="H499" s="19" t="n">
        <v>311000</v>
      </c>
      <c r="I499" s="20" t="n">
        <v>2</v>
      </c>
      <c r="J499" s="21" t="n">
        <f aca="false">H499*(1-I499/100)</f>
        <v>304780</v>
      </c>
      <c r="K499" s="17" t="n">
        <v>2</v>
      </c>
      <c r="L499" s="17" t="s">
        <v>66</v>
      </c>
      <c r="M499" s="17" t="s">
        <v>50</v>
      </c>
    </row>
    <row r="500" customFormat="false" ht="15" hidden="false" customHeight="true" outlineLevel="0" collapsed="false">
      <c r="A500" s="12" t="s">
        <v>595</v>
      </c>
      <c r="B500" s="13" t="s">
        <v>141</v>
      </c>
      <c r="C500" s="12" t="s">
        <v>81</v>
      </c>
      <c r="D500" s="13" t="s">
        <v>107</v>
      </c>
      <c r="E500" s="13" t="s">
        <v>117</v>
      </c>
      <c r="F500" s="12" t="n">
        <v>276</v>
      </c>
      <c r="G500" s="14" t="n">
        <v>5000</v>
      </c>
      <c r="H500" s="14" t="n">
        <v>1380000</v>
      </c>
      <c r="I500" s="15" t="n">
        <v>5</v>
      </c>
      <c r="J500" s="16" t="n">
        <f aca="false">H500*(1-I500/100)</f>
        <v>1311000</v>
      </c>
      <c r="K500" s="12" t="n">
        <v>7</v>
      </c>
      <c r="L500" s="12" t="s">
        <v>74</v>
      </c>
      <c r="M500" s="12" t="s">
        <v>50</v>
      </c>
    </row>
    <row r="501" customFormat="false" ht="15" hidden="false" customHeight="true" outlineLevel="0" collapsed="false">
      <c r="A501" s="17" t="s">
        <v>596</v>
      </c>
      <c r="B501" s="18" t="s">
        <v>68</v>
      </c>
      <c r="C501" s="17" t="s">
        <v>72</v>
      </c>
      <c r="D501" s="18" t="s">
        <v>95</v>
      </c>
      <c r="E501" s="18" t="s">
        <v>122</v>
      </c>
      <c r="F501" s="17" t="n">
        <v>94</v>
      </c>
      <c r="G501" s="19" t="n">
        <v>2000</v>
      </c>
      <c r="H501" s="19" t="n">
        <v>188000</v>
      </c>
      <c r="I501" s="20" t="n">
        <v>0</v>
      </c>
      <c r="J501" s="21" t="n">
        <f aca="false">H501*(1-I501/100)</f>
        <v>188000</v>
      </c>
      <c r="K501" s="17" t="n">
        <v>4</v>
      </c>
      <c r="L501" s="17" t="s">
        <v>55</v>
      </c>
      <c r="M501" s="17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13"/>
    <col collapsed="false" customWidth="true" hidden="false" outlineLevel="0" max="8" min="8" style="1" width="22"/>
  </cols>
  <sheetData>
    <row r="1" customFormat="false" ht="34.5" hidden="false" customHeight="true" outlineLevel="0" collapsed="false">
      <c r="A1" s="22" t="s">
        <v>597</v>
      </c>
      <c r="B1" s="22"/>
      <c r="C1" s="22"/>
      <c r="D1" s="22"/>
      <c r="E1" s="22"/>
      <c r="F1" s="22"/>
      <c r="G1" s="22"/>
      <c r="H1" s="22"/>
    </row>
    <row r="2" customFormat="false" ht="21.75" hidden="false" customHeight="true" outlineLevel="0" collapsed="false">
      <c r="A2" s="4" t="s">
        <v>598</v>
      </c>
      <c r="B2" s="4"/>
      <c r="C2" s="4"/>
      <c r="D2" s="4"/>
      <c r="E2" s="4"/>
      <c r="F2" s="4"/>
      <c r="G2" s="4"/>
      <c r="H2" s="4"/>
    </row>
    <row r="4" customFormat="false" ht="25.5" hidden="false" customHeight="true" outlineLevel="0" collapsed="false">
      <c r="A4" s="11" t="s">
        <v>599</v>
      </c>
      <c r="B4" s="11" t="s">
        <v>32</v>
      </c>
      <c r="C4" s="11" t="s">
        <v>33</v>
      </c>
      <c r="D4" s="11" t="s">
        <v>600</v>
      </c>
      <c r="E4" s="11" t="s">
        <v>601</v>
      </c>
      <c r="F4" s="11" t="s">
        <v>602</v>
      </c>
      <c r="G4" s="11" t="s">
        <v>603</v>
      </c>
      <c r="H4" s="11" t="s">
        <v>604</v>
      </c>
    </row>
    <row r="5" customFormat="false" ht="18" hidden="false" customHeight="true" outlineLevel="0" collapsed="false">
      <c r="A5" s="17" t="s">
        <v>44</v>
      </c>
      <c r="B5" s="18" t="s">
        <v>89</v>
      </c>
      <c r="C5" s="18" t="s">
        <v>46</v>
      </c>
      <c r="D5" s="17" t="n">
        <v>25</v>
      </c>
      <c r="E5" s="19" t="n">
        <v>600316</v>
      </c>
      <c r="F5" s="19" t="n">
        <v>24012</v>
      </c>
      <c r="G5" s="20" t="n">
        <v>6</v>
      </c>
      <c r="H5" s="23" t="s">
        <v>605</v>
      </c>
    </row>
    <row r="6" customFormat="false" ht="18" hidden="false" customHeight="true" outlineLevel="0" collapsed="false">
      <c r="A6" s="12" t="s">
        <v>51</v>
      </c>
      <c r="B6" s="13" t="s">
        <v>68</v>
      </c>
      <c r="C6" s="13" t="s">
        <v>46</v>
      </c>
      <c r="D6" s="12" t="n">
        <v>20</v>
      </c>
      <c r="E6" s="14" t="n">
        <v>2166586</v>
      </c>
      <c r="F6" s="14" t="n">
        <v>108329</v>
      </c>
      <c r="G6" s="15" t="n">
        <v>5</v>
      </c>
      <c r="H6" s="24" t="s">
        <v>606</v>
      </c>
    </row>
    <row r="7" customFormat="false" ht="18" hidden="false" customHeight="true" outlineLevel="0" collapsed="false">
      <c r="A7" s="17" t="s">
        <v>56</v>
      </c>
      <c r="B7" s="18" t="s">
        <v>78</v>
      </c>
      <c r="C7" s="18" t="s">
        <v>81</v>
      </c>
      <c r="D7" s="17" t="n">
        <v>13</v>
      </c>
      <c r="E7" s="19" t="n">
        <v>206713</v>
      </c>
      <c r="F7" s="19" t="n">
        <v>15901</v>
      </c>
      <c r="G7" s="20" t="n">
        <v>12</v>
      </c>
      <c r="H7" s="25" t="s">
        <v>607</v>
      </c>
    </row>
    <row r="8" customFormat="false" ht="18" hidden="false" customHeight="true" outlineLevel="0" collapsed="false">
      <c r="A8" s="12" t="s">
        <v>62</v>
      </c>
      <c r="B8" s="13" t="s">
        <v>76</v>
      </c>
      <c r="C8" s="13" t="s">
        <v>46</v>
      </c>
      <c r="D8" s="12" t="n">
        <v>19</v>
      </c>
      <c r="E8" s="14" t="n">
        <v>253788</v>
      </c>
      <c r="F8" s="14" t="n">
        <v>13357</v>
      </c>
      <c r="G8" s="15" t="n">
        <v>1</v>
      </c>
      <c r="H8" s="25" t="s">
        <v>607</v>
      </c>
    </row>
    <row r="9" customFormat="false" ht="18" hidden="false" customHeight="true" outlineLevel="0" collapsed="false">
      <c r="A9" s="17" t="s">
        <v>67</v>
      </c>
      <c r="B9" s="18" t="s">
        <v>57</v>
      </c>
      <c r="C9" s="18" t="s">
        <v>46</v>
      </c>
      <c r="D9" s="17" t="n">
        <v>22</v>
      </c>
      <c r="E9" s="19" t="n">
        <v>132802</v>
      </c>
      <c r="F9" s="19" t="n">
        <v>6036</v>
      </c>
      <c r="G9" s="20" t="n">
        <v>1</v>
      </c>
      <c r="H9" s="26" t="s">
        <v>608</v>
      </c>
    </row>
    <row r="10" customFormat="false" ht="18" hidden="false" customHeight="true" outlineLevel="0" collapsed="false">
      <c r="A10" s="12" t="s">
        <v>70</v>
      </c>
      <c r="B10" s="13" t="s">
        <v>141</v>
      </c>
      <c r="C10" s="13" t="s">
        <v>46</v>
      </c>
      <c r="D10" s="12" t="n">
        <v>15</v>
      </c>
      <c r="E10" s="14" t="n">
        <v>1913589</v>
      </c>
      <c r="F10" s="14" t="n">
        <v>127572</v>
      </c>
      <c r="G10" s="15" t="n">
        <v>12</v>
      </c>
      <c r="H10" s="24" t="s">
        <v>606</v>
      </c>
    </row>
    <row r="11" customFormat="false" ht="18" hidden="false" customHeight="true" outlineLevel="0" collapsed="false">
      <c r="A11" s="17" t="s">
        <v>75</v>
      </c>
      <c r="B11" s="18" t="s">
        <v>144</v>
      </c>
      <c r="C11" s="18" t="s">
        <v>79</v>
      </c>
      <c r="D11" s="17" t="n">
        <v>19</v>
      </c>
      <c r="E11" s="19" t="n">
        <v>1110061</v>
      </c>
      <c r="F11" s="19" t="n">
        <v>58424</v>
      </c>
      <c r="G11" s="20" t="n">
        <v>15</v>
      </c>
      <c r="H11" s="24" t="s">
        <v>606</v>
      </c>
    </row>
    <row r="12" customFormat="false" ht="18" hidden="false" customHeight="true" outlineLevel="0" collapsed="false">
      <c r="A12" s="12" t="s">
        <v>77</v>
      </c>
      <c r="B12" s="13" t="s">
        <v>100</v>
      </c>
      <c r="C12" s="13" t="s">
        <v>72</v>
      </c>
      <c r="D12" s="12" t="n">
        <v>8</v>
      </c>
      <c r="E12" s="14" t="n">
        <v>89026</v>
      </c>
      <c r="F12" s="14" t="n">
        <v>11128</v>
      </c>
      <c r="G12" s="15" t="n">
        <v>9</v>
      </c>
      <c r="H12" s="26" t="s">
        <v>608</v>
      </c>
    </row>
    <row r="13" customFormat="false" ht="18" hidden="false" customHeight="true" outlineLevel="0" collapsed="false">
      <c r="A13" s="17" t="s">
        <v>80</v>
      </c>
      <c r="B13" s="18" t="s">
        <v>87</v>
      </c>
      <c r="C13" s="18" t="s">
        <v>58</v>
      </c>
      <c r="D13" s="17" t="n">
        <v>23</v>
      </c>
      <c r="E13" s="19" t="n">
        <v>473540</v>
      </c>
      <c r="F13" s="19" t="n">
        <v>20588</v>
      </c>
      <c r="G13" s="20" t="n">
        <v>8</v>
      </c>
      <c r="H13" s="25" t="s">
        <v>607</v>
      </c>
    </row>
    <row r="14" customFormat="false" ht="18" hidden="false" customHeight="true" outlineLevel="0" collapsed="false">
      <c r="A14" s="12" t="s">
        <v>82</v>
      </c>
      <c r="B14" s="13" t="s">
        <v>71</v>
      </c>
      <c r="C14" s="13" t="s">
        <v>46</v>
      </c>
      <c r="D14" s="12" t="n">
        <v>21</v>
      </c>
      <c r="E14" s="14" t="n">
        <v>625305</v>
      </c>
      <c r="F14" s="14" t="n">
        <v>29776</v>
      </c>
      <c r="G14" s="15" t="n">
        <v>13</v>
      </c>
      <c r="H14" s="23" t="s">
        <v>605</v>
      </c>
    </row>
    <row r="15" customFormat="false" ht="18" hidden="false" customHeight="true" outlineLevel="0" collapsed="false">
      <c r="A15" s="17" t="s">
        <v>84</v>
      </c>
      <c r="B15" s="18" t="s">
        <v>45</v>
      </c>
      <c r="C15" s="18" t="s">
        <v>46</v>
      </c>
      <c r="D15" s="17" t="n">
        <v>18</v>
      </c>
      <c r="E15" s="19" t="n">
        <v>543814</v>
      </c>
      <c r="F15" s="19" t="n">
        <v>30211</v>
      </c>
      <c r="G15" s="20" t="n">
        <v>9</v>
      </c>
      <c r="H15" s="23" t="s">
        <v>605</v>
      </c>
    </row>
    <row r="16" customFormat="false" ht="18" hidden="false" customHeight="true" outlineLevel="0" collapsed="false">
      <c r="A16" s="12" t="s">
        <v>86</v>
      </c>
      <c r="B16" s="13" t="s">
        <v>91</v>
      </c>
      <c r="C16" s="13" t="s">
        <v>58</v>
      </c>
      <c r="D16" s="12" t="n">
        <v>5</v>
      </c>
      <c r="E16" s="14" t="n">
        <v>2137668</v>
      </c>
      <c r="F16" s="14" t="n">
        <v>427533</v>
      </c>
      <c r="G16" s="15" t="n">
        <v>6</v>
      </c>
      <c r="H16" s="24" t="s">
        <v>606</v>
      </c>
    </row>
    <row r="17" customFormat="false" ht="18" hidden="false" customHeight="true" outlineLevel="0" collapsed="false">
      <c r="A17" s="17" t="s">
        <v>88</v>
      </c>
      <c r="B17" s="18" t="s">
        <v>106</v>
      </c>
      <c r="C17" s="18" t="s">
        <v>81</v>
      </c>
      <c r="D17" s="17" t="n">
        <v>8</v>
      </c>
      <c r="E17" s="19" t="n">
        <v>1153076</v>
      </c>
      <c r="F17" s="19" t="n">
        <v>144134</v>
      </c>
      <c r="G17" s="20" t="n">
        <v>6</v>
      </c>
      <c r="H17" s="24" t="s">
        <v>606</v>
      </c>
    </row>
    <row r="18" customFormat="false" ht="18" hidden="false" customHeight="true" outlineLevel="0" collapsed="false">
      <c r="A18" s="12" t="s">
        <v>90</v>
      </c>
      <c r="B18" s="13" t="s">
        <v>128</v>
      </c>
      <c r="C18" s="13" t="s">
        <v>79</v>
      </c>
      <c r="D18" s="12" t="n">
        <v>24</v>
      </c>
      <c r="E18" s="14" t="n">
        <v>1768642</v>
      </c>
      <c r="F18" s="14" t="n">
        <v>73693</v>
      </c>
      <c r="G18" s="15" t="n">
        <v>9</v>
      </c>
      <c r="H18" s="24" t="s">
        <v>606</v>
      </c>
    </row>
    <row r="19" customFormat="false" ht="18" hidden="false" customHeight="true" outlineLevel="0" collapsed="false">
      <c r="A19" s="17" t="s">
        <v>92</v>
      </c>
      <c r="B19" s="18" t="s">
        <v>120</v>
      </c>
      <c r="C19" s="18" t="s">
        <v>79</v>
      </c>
      <c r="D19" s="17" t="n">
        <v>3</v>
      </c>
      <c r="E19" s="19" t="n">
        <v>2349060</v>
      </c>
      <c r="F19" s="19" t="n">
        <v>783020</v>
      </c>
      <c r="G19" s="20" t="n">
        <v>15</v>
      </c>
      <c r="H19" s="24" t="s">
        <v>606</v>
      </c>
    </row>
    <row r="20" customFormat="false" ht="18" hidden="false" customHeight="true" outlineLevel="0" collapsed="false">
      <c r="A20" s="12" t="s">
        <v>93</v>
      </c>
      <c r="B20" s="13" t="s">
        <v>111</v>
      </c>
      <c r="C20" s="13" t="s">
        <v>79</v>
      </c>
      <c r="D20" s="12" t="n">
        <v>24</v>
      </c>
      <c r="E20" s="14" t="n">
        <v>2066050</v>
      </c>
      <c r="F20" s="14" t="n">
        <v>86085</v>
      </c>
      <c r="G20" s="15" t="n">
        <v>10</v>
      </c>
      <c r="H20" s="24" t="s">
        <v>606</v>
      </c>
    </row>
    <row r="21" customFormat="false" ht="18" hidden="false" customHeight="true" outlineLevel="0" collapsed="false">
      <c r="A21" s="17" t="s">
        <v>94</v>
      </c>
      <c r="B21" s="18" t="s">
        <v>52</v>
      </c>
      <c r="C21" s="18" t="s">
        <v>46</v>
      </c>
      <c r="D21" s="17" t="n">
        <v>2</v>
      </c>
      <c r="E21" s="19" t="n">
        <v>103474</v>
      </c>
      <c r="F21" s="19" t="n">
        <v>51737</v>
      </c>
      <c r="G21" s="20" t="n">
        <v>2</v>
      </c>
      <c r="H21" s="26" t="s">
        <v>608</v>
      </c>
    </row>
    <row r="22" customFormat="false" ht="18" hidden="false" customHeight="true" outlineLevel="0" collapsed="false">
      <c r="A22" s="12" t="s">
        <v>97</v>
      </c>
      <c r="B22" s="13" t="s">
        <v>63</v>
      </c>
      <c r="C22" s="13" t="s">
        <v>46</v>
      </c>
      <c r="D22" s="12" t="n">
        <v>20</v>
      </c>
      <c r="E22" s="14" t="n">
        <v>2122422</v>
      </c>
      <c r="F22" s="14" t="n">
        <v>106121</v>
      </c>
      <c r="G22" s="15" t="n">
        <v>4</v>
      </c>
      <c r="H22" s="24" t="s">
        <v>606</v>
      </c>
    </row>
    <row r="25" customFormat="false" ht="25.5" hidden="false" customHeight="true" outlineLevel="0" collapsed="false">
      <c r="A25" s="27" t="s">
        <v>609</v>
      </c>
      <c r="B25" s="27"/>
      <c r="C25" s="27"/>
      <c r="D25" s="27"/>
      <c r="E25" s="27"/>
      <c r="F25" s="27"/>
      <c r="G25" s="27"/>
      <c r="H25" s="27"/>
    </row>
    <row r="26" customFormat="false" ht="15" hidden="false" customHeight="true" outlineLevel="0" collapsed="false">
      <c r="A26" s="11" t="s">
        <v>604</v>
      </c>
      <c r="B26" s="11" t="s">
        <v>610</v>
      </c>
      <c r="C26" s="11" t="s">
        <v>611</v>
      </c>
      <c r="D26" s="11" t="s">
        <v>601</v>
      </c>
      <c r="E26" s="11" t="s">
        <v>612</v>
      </c>
      <c r="F26" s="11" t="s">
        <v>613</v>
      </c>
      <c r="G26" s="11" t="s">
        <v>614</v>
      </c>
    </row>
    <row r="27" customFormat="false" ht="19.5" hidden="false" customHeight="true" outlineLevel="0" collapsed="false">
      <c r="A27" s="28" t="s">
        <v>606</v>
      </c>
      <c r="B27" s="29" t="n">
        <v>8</v>
      </c>
      <c r="C27" s="29" t="s">
        <v>615</v>
      </c>
      <c r="D27" s="29" t="s">
        <v>616</v>
      </c>
      <c r="E27" s="29" t="s">
        <v>617</v>
      </c>
      <c r="F27" s="29" t="s">
        <v>618</v>
      </c>
      <c r="G27" s="29" t="s">
        <v>619</v>
      </c>
    </row>
    <row r="28" customFormat="false" ht="19.5" hidden="false" customHeight="true" outlineLevel="0" collapsed="false">
      <c r="A28" s="30" t="s">
        <v>605</v>
      </c>
      <c r="B28" s="31" t="n">
        <v>12</v>
      </c>
      <c r="C28" s="31" t="s">
        <v>620</v>
      </c>
      <c r="D28" s="31" t="s">
        <v>621</v>
      </c>
      <c r="E28" s="31" t="s">
        <v>622</v>
      </c>
      <c r="F28" s="31" t="s">
        <v>623</v>
      </c>
      <c r="G28" s="31" t="s">
        <v>624</v>
      </c>
    </row>
    <row r="29" customFormat="false" ht="19.5" hidden="false" customHeight="true" outlineLevel="0" collapsed="false">
      <c r="A29" s="32" t="s">
        <v>607</v>
      </c>
      <c r="B29" s="33" t="n">
        <v>18</v>
      </c>
      <c r="C29" s="33" t="s">
        <v>625</v>
      </c>
      <c r="D29" s="33" t="s">
        <v>626</v>
      </c>
      <c r="E29" s="33" t="s">
        <v>627</v>
      </c>
      <c r="F29" s="33" t="s">
        <v>628</v>
      </c>
      <c r="G29" s="33" t="s">
        <v>629</v>
      </c>
    </row>
    <row r="30" customFormat="false" ht="19.5" hidden="false" customHeight="true" outlineLevel="0" collapsed="false">
      <c r="A30" s="34" t="s">
        <v>608</v>
      </c>
      <c r="B30" s="35" t="n">
        <v>12</v>
      </c>
      <c r="C30" s="35" t="s">
        <v>620</v>
      </c>
      <c r="D30" s="35" t="s">
        <v>630</v>
      </c>
      <c r="E30" s="35" t="s">
        <v>631</v>
      </c>
      <c r="F30" s="35" t="s">
        <v>632</v>
      </c>
      <c r="G30" s="35" t="s">
        <v>633</v>
      </c>
    </row>
  </sheetData>
  <mergeCells count="3">
    <mergeCell ref="A1:H1"/>
    <mergeCell ref="A2:H2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2"/>
    <col collapsed="false" customWidth="true" hidden="false" outlineLevel="0" max="4" min="3" style="1" width="16"/>
    <col collapsed="false" customWidth="true" hidden="false" outlineLevel="0" max="5" min="5" style="1" width="12"/>
    <col collapsed="false" customWidth="true" hidden="false" outlineLevel="0" max="6" min="6" style="1" width="3"/>
    <col collapsed="false" customWidth="true" hidden="false" outlineLevel="0" max="7" min="7" style="1" width="14"/>
    <col collapsed="false" customWidth="true" hidden="false" outlineLevel="0" max="8" min="8" style="1" width="15"/>
    <col collapsed="false" customWidth="true" hidden="false" outlineLevel="0" max="9" min="9" style="1" width="16"/>
    <col collapsed="false" customWidth="true" hidden="false" outlineLevel="0" max="10" min="10" style="1" width="14"/>
  </cols>
  <sheetData>
    <row r="1" customFormat="false" ht="34.5" hidden="false" customHeight="true" outlineLevel="0" collapsed="false">
      <c r="A1" s="22" t="s">
        <v>634</v>
      </c>
      <c r="B1" s="22"/>
      <c r="C1" s="22"/>
      <c r="D1" s="22"/>
      <c r="E1" s="22"/>
      <c r="F1" s="22"/>
      <c r="G1" s="22"/>
      <c r="H1" s="22"/>
      <c r="I1" s="22"/>
      <c r="J1" s="22"/>
    </row>
    <row r="2" customFormat="false" ht="24" hidden="false" customHeight="true" outlineLevel="0" collapsed="false">
      <c r="A2" s="36" t="s">
        <v>635</v>
      </c>
      <c r="B2" s="36"/>
      <c r="C2" s="36"/>
      <c r="D2" s="36"/>
      <c r="E2" s="36"/>
      <c r="F2" s="36"/>
      <c r="G2" s="36"/>
      <c r="H2" s="36"/>
      <c r="I2" s="36"/>
      <c r="J2" s="36"/>
    </row>
    <row r="4" customFormat="false" ht="25.5" hidden="false" customHeight="true" outlineLevel="0" collapsed="false">
      <c r="A4" s="27" t="s">
        <v>636</v>
      </c>
      <c r="B4" s="27"/>
      <c r="C4" s="27"/>
      <c r="D4" s="27"/>
      <c r="E4" s="27"/>
      <c r="G4" s="27" t="s">
        <v>637</v>
      </c>
      <c r="H4" s="27"/>
      <c r="I4" s="27"/>
      <c r="J4" s="27"/>
    </row>
    <row r="5" customFormat="false" ht="15" hidden="false" customHeight="true" outlineLevel="0" collapsed="false">
      <c r="A5" s="11" t="s">
        <v>34</v>
      </c>
      <c r="B5" s="11" t="s">
        <v>36</v>
      </c>
      <c r="C5" s="11" t="s">
        <v>638</v>
      </c>
      <c r="D5" s="11" t="s">
        <v>40</v>
      </c>
      <c r="E5" s="11" t="s">
        <v>639</v>
      </c>
      <c r="G5" s="11" t="s">
        <v>640</v>
      </c>
      <c r="H5" s="11" t="s">
        <v>611</v>
      </c>
      <c r="I5" s="11" t="s">
        <v>38</v>
      </c>
      <c r="J5" s="11" t="s">
        <v>641</v>
      </c>
    </row>
    <row r="6" customFormat="false" ht="19.5" hidden="false" customHeight="true" outlineLevel="0" collapsed="false">
      <c r="A6" s="13" t="s">
        <v>59</v>
      </c>
      <c r="B6" s="12" t="n">
        <v>4820</v>
      </c>
      <c r="C6" s="14" t="n">
        <v>14500000</v>
      </c>
      <c r="D6" s="14" t="n">
        <v>13340000</v>
      </c>
      <c r="E6" s="37" t="n">
        <f aca="false">IFERROR(D6/D13*100,0)</f>
        <v>0</v>
      </c>
      <c r="G6" s="34" t="s">
        <v>642</v>
      </c>
      <c r="H6" s="35" t="s">
        <v>643</v>
      </c>
      <c r="I6" s="35" t="s">
        <v>644</v>
      </c>
      <c r="J6" s="35" t="s">
        <v>645</v>
      </c>
    </row>
    <row r="7" customFormat="false" ht="19.5" hidden="false" customHeight="true" outlineLevel="0" collapsed="false">
      <c r="A7" s="18" t="s">
        <v>107</v>
      </c>
      <c r="B7" s="17" t="n">
        <v>3210</v>
      </c>
      <c r="C7" s="19" t="n">
        <v>9800000</v>
      </c>
      <c r="D7" s="19" t="n">
        <v>9016000</v>
      </c>
      <c r="E7" s="38" t="n">
        <f aca="false">IFERROR(D7/D13*100,0)</f>
        <v>0</v>
      </c>
      <c r="G7" s="32" t="s">
        <v>646</v>
      </c>
      <c r="H7" s="33" t="s">
        <v>647</v>
      </c>
      <c r="I7" s="33" t="s">
        <v>648</v>
      </c>
      <c r="J7" s="33" t="s">
        <v>649</v>
      </c>
    </row>
    <row r="8" customFormat="false" ht="19.5" hidden="false" customHeight="true" outlineLevel="0" collapsed="false">
      <c r="A8" s="13" t="s">
        <v>47</v>
      </c>
      <c r="B8" s="12" t="n">
        <v>5640</v>
      </c>
      <c r="C8" s="14" t="n">
        <v>8200000</v>
      </c>
      <c r="D8" s="14" t="n">
        <v>7626000</v>
      </c>
      <c r="E8" s="37" t="n">
        <f aca="false">IFERROR(D8/D13*100,0)</f>
        <v>0</v>
      </c>
      <c r="G8" s="30" t="s">
        <v>650</v>
      </c>
      <c r="H8" s="31" t="s">
        <v>622</v>
      </c>
      <c r="I8" s="31" t="s">
        <v>651</v>
      </c>
      <c r="J8" s="31" t="s">
        <v>652</v>
      </c>
    </row>
    <row r="9" customFormat="false" ht="19.5" hidden="false" customHeight="true" outlineLevel="0" collapsed="false">
      <c r="A9" s="18" t="s">
        <v>53</v>
      </c>
      <c r="B9" s="17" t="n">
        <v>6780</v>
      </c>
      <c r="C9" s="19" t="n">
        <v>7600000</v>
      </c>
      <c r="D9" s="19" t="n">
        <v>7144000</v>
      </c>
      <c r="E9" s="38" t="n">
        <f aca="false">IFERROR(D9/D13*100,0)</f>
        <v>0</v>
      </c>
      <c r="G9" s="28" t="s">
        <v>653</v>
      </c>
      <c r="H9" s="29" t="s">
        <v>654</v>
      </c>
      <c r="I9" s="29" t="s">
        <v>655</v>
      </c>
      <c r="J9" s="29" t="s">
        <v>656</v>
      </c>
    </row>
    <row r="10" customFormat="false" ht="19.5" hidden="false" customHeight="true" outlineLevel="0" collapsed="false">
      <c r="A10" s="13" t="s">
        <v>64</v>
      </c>
      <c r="B10" s="12" t="n">
        <v>8920</v>
      </c>
      <c r="C10" s="14" t="n">
        <v>6300000</v>
      </c>
      <c r="D10" s="14" t="n">
        <v>5985000</v>
      </c>
      <c r="E10" s="37" t="n">
        <f aca="false">IFERROR(D10/D13*100,0)</f>
        <v>0</v>
      </c>
      <c r="G10" s="39" t="s">
        <v>657</v>
      </c>
      <c r="H10" s="12" t="s">
        <v>654</v>
      </c>
      <c r="I10" s="12" t="s">
        <v>658</v>
      </c>
      <c r="J10" s="12" t="s">
        <v>643</v>
      </c>
    </row>
    <row r="11" customFormat="false" ht="18" hidden="false" customHeight="true" outlineLevel="0" collapsed="false">
      <c r="A11" s="18" t="s">
        <v>95</v>
      </c>
      <c r="B11" s="17" t="n">
        <v>12340</v>
      </c>
      <c r="C11" s="19" t="n">
        <v>4200000</v>
      </c>
      <c r="D11" s="19" t="n">
        <v>4032000</v>
      </c>
      <c r="E11" s="38" t="n">
        <f aca="false">IFERROR(D11/D13*100,0)</f>
        <v>0</v>
      </c>
    </row>
    <row r="12" customFormat="false" ht="21.75" hidden="false" customHeight="true" outlineLevel="0" collapsed="false">
      <c r="A12" s="40" t="s">
        <v>659</v>
      </c>
      <c r="B12" s="40" t="n">
        <f aca="false">SUM(B6:B11)</f>
        <v>41710</v>
      </c>
      <c r="C12" s="41" t="n">
        <f aca="false">SUM(C6:C11)</f>
        <v>50600000</v>
      </c>
      <c r="D12" s="41" t="n">
        <f aca="false">SUM(D6:D11)</f>
        <v>47143000</v>
      </c>
      <c r="E12" s="40" t="s">
        <v>660</v>
      </c>
    </row>
  </sheetData>
  <mergeCells count="4">
    <mergeCell ref="A1:J1"/>
    <mergeCell ref="A2:J2"/>
    <mergeCell ref="A4:E4"/>
    <mergeCell ref="G4:J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6" min="5" style="1" width="16"/>
    <col collapsed="false" customWidth="true" hidden="false" outlineLevel="0" max="7" min="7" style="1" width="14"/>
    <col collapsed="false" customWidth="true" hidden="false" outlineLevel="0" max="8" min="8" style="1" width="28"/>
  </cols>
  <sheetData>
    <row r="1" customFormat="false" ht="34.5" hidden="false" customHeight="true" outlineLevel="0" collapsed="false">
      <c r="A1" s="22" t="s">
        <v>661</v>
      </c>
      <c r="B1" s="22"/>
      <c r="C1" s="22"/>
      <c r="D1" s="22"/>
      <c r="E1" s="22"/>
      <c r="F1" s="22"/>
      <c r="G1" s="22"/>
      <c r="H1" s="22"/>
    </row>
    <row r="2" customFormat="false" ht="24" hidden="false" customHeight="true" outlineLevel="0" collapsed="false">
      <c r="A2" s="42" t="s">
        <v>662</v>
      </c>
      <c r="B2" s="42"/>
      <c r="C2" s="42"/>
      <c r="D2" s="42"/>
      <c r="E2" s="42"/>
      <c r="F2" s="42"/>
      <c r="G2" s="42"/>
      <c r="H2" s="42"/>
    </row>
    <row r="4" customFormat="false" ht="25.5" hidden="false" customHeight="true" outlineLevel="0" collapsed="false">
      <c r="A4" s="11" t="s">
        <v>663</v>
      </c>
      <c r="B4" s="11" t="s">
        <v>37</v>
      </c>
      <c r="C4" s="11" t="s">
        <v>664</v>
      </c>
      <c r="D4" s="11" t="s">
        <v>665</v>
      </c>
      <c r="E4" s="11" t="s">
        <v>666</v>
      </c>
      <c r="F4" s="11" t="s">
        <v>667</v>
      </c>
      <c r="G4" s="11" t="s">
        <v>668</v>
      </c>
      <c r="H4" s="11" t="s">
        <v>669</v>
      </c>
    </row>
    <row r="5" customFormat="false" ht="19.5" hidden="false" customHeight="true" outlineLevel="0" collapsed="false">
      <c r="A5" s="26" t="s">
        <v>670</v>
      </c>
      <c r="B5" s="35" t="n">
        <v>250</v>
      </c>
      <c r="C5" s="35" t="n">
        <v>120</v>
      </c>
      <c r="D5" s="35" t="s">
        <v>671</v>
      </c>
      <c r="E5" s="43" t="n">
        <v>3000000</v>
      </c>
      <c r="F5" s="43" t="n">
        <v>2640000</v>
      </c>
      <c r="G5" s="26" t="s">
        <v>672</v>
      </c>
      <c r="H5" s="26" t="s">
        <v>673</v>
      </c>
    </row>
    <row r="6" customFormat="false" ht="19.5" hidden="false" customHeight="true" outlineLevel="0" collapsed="false">
      <c r="A6" s="25" t="s">
        <v>674</v>
      </c>
      <c r="B6" s="33" t="n">
        <v>500</v>
      </c>
      <c r="C6" s="33" t="n">
        <v>180</v>
      </c>
      <c r="D6" s="33" t="s">
        <v>631</v>
      </c>
      <c r="E6" s="44" t="n">
        <v>9000000</v>
      </c>
      <c r="F6" s="44" t="n">
        <v>8100000</v>
      </c>
      <c r="G6" s="25" t="s">
        <v>675</v>
      </c>
      <c r="H6" s="25" t="s">
        <v>676</v>
      </c>
    </row>
    <row r="7" customFormat="false" ht="19.5" hidden="false" customHeight="true" outlineLevel="0" collapsed="false">
      <c r="A7" s="25" t="s">
        <v>677</v>
      </c>
      <c r="B7" s="33" t="n">
        <v>1000</v>
      </c>
      <c r="C7" s="33" t="n">
        <v>110</v>
      </c>
      <c r="D7" s="33" t="s">
        <v>678</v>
      </c>
      <c r="E7" s="44" t="n">
        <v>11000000</v>
      </c>
      <c r="F7" s="44" t="n">
        <v>10120000</v>
      </c>
      <c r="G7" s="25" t="s">
        <v>675</v>
      </c>
      <c r="H7" s="25" t="s">
        <v>679</v>
      </c>
    </row>
    <row r="8" customFormat="false" ht="19.5" hidden="false" customHeight="true" outlineLevel="0" collapsed="false">
      <c r="A8" s="23" t="s">
        <v>680</v>
      </c>
      <c r="B8" s="31" t="n">
        <v>2000</v>
      </c>
      <c r="C8" s="31" t="n">
        <v>65</v>
      </c>
      <c r="D8" s="31" t="s">
        <v>643</v>
      </c>
      <c r="E8" s="45" t="n">
        <v>13000000</v>
      </c>
      <c r="F8" s="45" t="n">
        <v>12350000</v>
      </c>
      <c r="G8" s="23" t="s">
        <v>681</v>
      </c>
      <c r="H8" s="23" t="s">
        <v>682</v>
      </c>
    </row>
    <row r="9" customFormat="false" ht="19.5" hidden="false" customHeight="true" outlineLevel="0" collapsed="false">
      <c r="A9" s="24" t="s">
        <v>683</v>
      </c>
      <c r="B9" s="29" t="n">
        <v>5000</v>
      </c>
      <c r="C9" s="29" t="n">
        <v>25</v>
      </c>
      <c r="D9" s="29" t="s">
        <v>684</v>
      </c>
      <c r="E9" s="46" t="n">
        <v>12500000</v>
      </c>
      <c r="F9" s="46" t="n">
        <v>12125000</v>
      </c>
      <c r="G9" s="24" t="s">
        <v>681</v>
      </c>
      <c r="H9" s="24" t="s">
        <v>685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3"/>
    <col collapsed="false" customWidth="true" hidden="false" outlineLevel="0" max="5" min="4" style="1" width="16"/>
    <col collapsed="false" customWidth="true" hidden="false" outlineLevel="0" max="6" min="6" style="1" width="18"/>
    <col collapsed="false" customWidth="true" hidden="false" outlineLevel="0" max="7" min="7" style="1" width="15"/>
    <col collapsed="false" customWidth="true" hidden="false" outlineLevel="0" max="8" min="8" style="1" width="12"/>
  </cols>
  <sheetData>
    <row r="1" customFormat="false" ht="34.5" hidden="false" customHeight="true" outlineLevel="0" collapsed="false">
      <c r="A1" s="22" t="s">
        <v>686</v>
      </c>
      <c r="B1" s="22"/>
      <c r="C1" s="22"/>
      <c r="D1" s="22"/>
      <c r="E1" s="22"/>
      <c r="F1" s="22"/>
      <c r="G1" s="22"/>
      <c r="H1" s="22"/>
    </row>
    <row r="3" customFormat="false" ht="25.5" hidden="false" customHeight="true" outlineLevel="0" collapsed="false">
      <c r="A3" s="11" t="s">
        <v>33</v>
      </c>
      <c r="B3" s="11" t="s">
        <v>664</v>
      </c>
      <c r="C3" s="11" t="s">
        <v>600</v>
      </c>
      <c r="D3" s="11" t="s">
        <v>638</v>
      </c>
      <c r="E3" s="11" t="s">
        <v>40</v>
      </c>
      <c r="F3" s="11" t="s">
        <v>687</v>
      </c>
      <c r="G3" s="11" t="s">
        <v>688</v>
      </c>
      <c r="H3" s="11" t="s">
        <v>689</v>
      </c>
    </row>
    <row r="4" customFormat="false" ht="19.5" hidden="false" customHeight="true" outlineLevel="0" collapsed="false">
      <c r="A4" s="24" t="s">
        <v>46</v>
      </c>
      <c r="B4" s="29" t="n">
        <v>145</v>
      </c>
      <c r="C4" s="29" t="n">
        <v>890</v>
      </c>
      <c r="D4" s="46" t="n">
        <v>12500000</v>
      </c>
      <c r="E4" s="46" t="n">
        <v>11625000</v>
      </c>
      <c r="F4" s="46" t="n">
        <v>13061</v>
      </c>
      <c r="G4" s="24" t="s">
        <v>59</v>
      </c>
      <c r="H4" s="47" t="s">
        <v>690</v>
      </c>
    </row>
    <row r="5" customFormat="false" ht="19.5" hidden="false" customHeight="true" outlineLevel="0" collapsed="false">
      <c r="A5" s="23" t="s">
        <v>79</v>
      </c>
      <c r="B5" s="31" t="n">
        <v>112</v>
      </c>
      <c r="C5" s="31" t="n">
        <v>720</v>
      </c>
      <c r="D5" s="45" t="n">
        <v>9800000</v>
      </c>
      <c r="E5" s="45" t="n">
        <v>9212000</v>
      </c>
      <c r="F5" s="45" t="n">
        <v>12794</v>
      </c>
      <c r="G5" s="23" t="s">
        <v>107</v>
      </c>
      <c r="H5" s="48" t="s">
        <v>691</v>
      </c>
    </row>
    <row r="6" customFormat="false" ht="19.5" hidden="false" customHeight="true" outlineLevel="0" collapsed="false">
      <c r="A6" s="24" t="s">
        <v>72</v>
      </c>
      <c r="B6" s="29" t="n">
        <v>138</v>
      </c>
      <c r="C6" s="29" t="n">
        <v>810</v>
      </c>
      <c r="D6" s="46" t="n">
        <v>11200000</v>
      </c>
      <c r="E6" s="46" t="n">
        <v>10528000</v>
      </c>
      <c r="F6" s="46" t="n">
        <v>12997</v>
      </c>
      <c r="G6" s="24" t="s">
        <v>47</v>
      </c>
      <c r="H6" s="47" t="s">
        <v>692</v>
      </c>
    </row>
    <row r="7" customFormat="false" ht="19.5" hidden="false" customHeight="true" outlineLevel="0" collapsed="false">
      <c r="A7" s="25" t="s">
        <v>81</v>
      </c>
      <c r="B7" s="33" t="n">
        <v>98</v>
      </c>
      <c r="C7" s="33" t="n">
        <v>580</v>
      </c>
      <c r="D7" s="44" t="n">
        <v>6400000</v>
      </c>
      <c r="E7" s="44" t="n">
        <v>5952000</v>
      </c>
      <c r="F7" s="44" t="n">
        <v>10262</v>
      </c>
      <c r="G7" s="25" t="s">
        <v>64</v>
      </c>
      <c r="H7" s="49" t="s">
        <v>693</v>
      </c>
    </row>
    <row r="8" customFormat="false" ht="19.5" hidden="false" customHeight="true" outlineLevel="0" collapsed="false">
      <c r="A8" s="25" t="s">
        <v>58</v>
      </c>
      <c r="B8" s="33" t="n">
        <v>57</v>
      </c>
      <c r="C8" s="33" t="n">
        <v>340</v>
      </c>
      <c r="D8" s="44" t="n">
        <v>4200000</v>
      </c>
      <c r="E8" s="44" t="n">
        <v>3948000</v>
      </c>
      <c r="F8" s="44" t="n">
        <v>11611</v>
      </c>
      <c r="G8" s="25" t="s">
        <v>53</v>
      </c>
      <c r="H8" s="49" t="s">
        <v>694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8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7" min="6" style="1" width="15"/>
  </cols>
  <sheetData>
    <row r="1" customFormat="false" ht="34.5" hidden="false" customHeight="true" outlineLevel="0" collapsed="false">
      <c r="A1" s="22" t="s">
        <v>695</v>
      </c>
      <c r="B1" s="22"/>
      <c r="C1" s="22"/>
      <c r="D1" s="22"/>
      <c r="E1" s="22"/>
      <c r="F1" s="22"/>
      <c r="G1" s="22"/>
    </row>
    <row r="3" customFormat="false" ht="25.5" hidden="false" customHeight="true" outlineLevel="0" collapsed="false">
      <c r="A3" s="11" t="s">
        <v>41</v>
      </c>
      <c r="B3" s="11" t="s">
        <v>696</v>
      </c>
      <c r="C3" s="11" t="s">
        <v>697</v>
      </c>
      <c r="D3" s="11" t="s">
        <v>698</v>
      </c>
      <c r="E3" s="11" t="s">
        <v>699</v>
      </c>
      <c r="F3" s="11" t="s">
        <v>700</v>
      </c>
      <c r="G3" s="11" t="s">
        <v>701</v>
      </c>
    </row>
    <row r="4" customFormat="false" ht="18" hidden="false" customHeight="true" outlineLevel="0" collapsed="false">
      <c r="A4" s="13" t="s">
        <v>702</v>
      </c>
      <c r="B4" s="14" t="n">
        <v>1850000</v>
      </c>
      <c r="C4" s="14" t="n">
        <v>2200000</v>
      </c>
      <c r="D4" s="50" t="n">
        <f aca="false">C4-B4</f>
        <v>350000</v>
      </c>
      <c r="E4" s="37" t="n">
        <f aca="false">(C4-B4)/B4*100</f>
        <v>18.9189189189189</v>
      </c>
      <c r="F4" s="12" t="n">
        <v>89</v>
      </c>
      <c r="G4" s="12" t="n">
        <v>82</v>
      </c>
    </row>
    <row r="5" customFormat="false" ht="18" hidden="false" customHeight="true" outlineLevel="0" collapsed="false">
      <c r="A5" s="18" t="s">
        <v>703</v>
      </c>
      <c r="B5" s="19" t="n">
        <v>1720000</v>
      </c>
      <c r="C5" s="19" t="n">
        <v>2050000</v>
      </c>
      <c r="D5" s="51" t="n">
        <f aca="false">C5-B5</f>
        <v>330000</v>
      </c>
      <c r="E5" s="38" t="n">
        <f aca="false">(C5-B5)/B5*100</f>
        <v>19.1860465116279</v>
      </c>
      <c r="F5" s="17" t="n">
        <v>44</v>
      </c>
      <c r="G5" s="17" t="n">
        <v>96</v>
      </c>
    </row>
    <row r="6" customFormat="false" ht="18" hidden="false" customHeight="true" outlineLevel="0" collapsed="false">
      <c r="A6" s="13" t="s">
        <v>704</v>
      </c>
      <c r="B6" s="14" t="n">
        <v>2100000</v>
      </c>
      <c r="C6" s="14" t="n">
        <v>2500000</v>
      </c>
      <c r="D6" s="50" t="n">
        <f aca="false">C6-B6</f>
        <v>400000</v>
      </c>
      <c r="E6" s="37" t="n">
        <f aca="false">(C6-B6)/B6*100</f>
        <v>19.047619047619</v>
      </c>
      <c r="F6" s="12" t="n">
        <v>86</v>
      </c>
      <c r="G6" s="12" t="n">
        <v>56</v>
      </c>
    </row>
    <row r="7" customFormat="false" ht="18" hidden="false" customHeight="true" outlineLevel="0" collapsed="false">
      <c r="A7" s="18" t="s">
        <v>705</v>
      </c>
      <c r="B7" s="19" t="n">
        <v>2300000</v>
      </c>
      <c r="C7" s="19" t="n">
        <v>2750000</v>
      </c>
      <c r="D7" s="51" t="n">
        <f aca="false">C7-B7</f>
        <v>450000</v>
      </c>
      <c r="E7" s="38" t="n">
        <f aca="false">(C7-B7)/B7*100</f>
        <v>19.5652173913043</v>
      </c>
      <c r="F7" s="17" t="n">
        <v>56</v>
      </c>
      <c r="G7" s="17" t="n">
        <v>91</v>
      </c>
    </row>
    <row r="8" customFormat="false" ht="18" hidden="false" customHeight="true" outlineLevel="0" collapsed="false">
      <c r="A8" s="13" t="s">
        <v>706</v>
      </c>
      <c r="B8" s="14" t="n">
        <v>2450000</v>
      </c>
      <c r="C8" s="14" t="n">
        <v>2950000</v>
      </c>
      <c r="D8" s="50" t="n">
        <f aca="false">C8-B8</f>
        <v>500000</v>
      </c>
      <c r="E8" s="37" t="n">
        <f aca="false">(C8-B8)/B8*100</f>
        <v>20.4081632653061</v>
      </c>
      <c r="F8" s="12" t="n">
        <v>54</v>
      </c>
      <c r="G8" s="12" t="n">
        <v>79</v>
      </c>
    </row>
    <row r="9" customFormat="false" ht="18" hidden="false" customHeight="true" outlineLevel="0" collapsed="false">
      <c r="A9" s="18" t="s">
        <v>707</v>
      </c>
      <c r="B9" s="19" t="n">
        <v>2800000</v>
      </c>
      <c r="C9" s="19" t="n">
        <v>3300000</v>
      </c>
      <c r="D9" s="51" t="n">
        <f aca="false">C9-B9</f>
        <v>500000</v>
      </c>
      <c r="E9" s="38" t="n">
        <f aca="false">(C9-B9)/B9*100</f>
        <v>17.8571428571429</v>
      </c>
      <c r="F9" s="17" t="n">
        <v>58</v>
      </c>
      <c r="G9" s="17" t="n">
        <v>66</v>
      </c>
    </row>
    <row r="10" customFormat="false" ht="18" hidden="false" customHeight="true" outlineLevel="0" collapsed="false">
      <c r="A10" s="13" t="s">
        <v>708</v>
      </c>
      <c r="B10" s="14" t="n">
        <v>2600000</v>
      </c>
      <c r="C10" s="14" t="n">
        <v>3100000</v>
      </c>
      <c r="D10" s="50" t="n">
        <f aca="false">C10-B10</f>
        <v>500000</v>
      </c>
      <c r="E10" s="37" t="n">
        <f aca="false">(C10-B10)/B10*100</f>
        <v>19.2307692307692</v>
      </c>
      <c r="F10" s="12" t="n">
        <v>69</v>
      </c>
      <c r="G10" s="12" t="n">
        <v>53</v>
      </c>
    </row>
    <row r="11" customFormat="false" ht="18" hidden="false" customHeight="true" outlineLevel="0" collapsed="false">
      <c r="A11" s="18" t="s">
        <v>709</v>
      </c>
      <c r="B11" s="19" t="n">
        <v>2750000</v>
      </c>
      <c r="C11" s="19" t="n">
        <v>3350000</v>
      </c>
      <c r="D11" s="51" t="n">
        <f aca="false">C11-B11</f>
        <v>600000</v>
      </c>
      <c r="E11" s="38" t="n">
        <f aca="false">(C11-B11)/B11*100</f>
        <v>21.8181818181818</v>
      </c>
      <c r="F11" s="17" t="n">
        <v>46</v>
      </c>
      <c r="G11" s="17" t="n">
        <v>102</v>
      </c>
    </row>
    <row r="12" customFormat="false" ht="18" hidden="false" customHeight="true" outlineLevel="0" collapsed="false">
      <c r="A12" s="13" t="s">
        <v>710</v>
      </c>
      <c r="B12" s="14" t="n">
        <v>3100000</v>
      </c>
      <c r="C12" s="14" t="n">
        <v>3700000</v>
      </c>
      <c r="D12" s="50" t="n">
        <f aca="false">C12-B12</f>
        <v>600000</v>
      </c>
      <c r="E12" s="37" t="n">
        <f aca="false">(C12-B12)/B12*100</f>
        <v>19.3548387096774</v>
      </c>
      <c r="F12" s="12" t="n">
        <v>51</v>
      </c>
      <c r="G12" s="12" t="n">
        <v>105</v>
      </c>
    </row>
    <row r="13" customFormat="false" ht="18" hidden="false" customHeight="true" outlineLevel="0" collapsed="false">
      <c r="A13" s="18" t="s">
        <v>711</v>
      </c>
      <c r="B13" s="19" t="n">
        <v>3400000</v>
      </c>
      <c r="C13" s="19" t="n">
        <v>4100000</v>
      </c>
      <c r="D13" s="51" t="n">
        <f aca="false">C13-B13</f>
        <v>700000</v>
      </c>
      <c r="E13" s="38" t="n">
        <f aca="false">(C13-B13)/B13*100</f>
        <v>20.5882352941176</v>
      </c>
      <c r="F13" s="17" t="n">
        <v>42</v>
      </c>
      <c r="G13" s="17" t="n">
        <v>104</v>
      </c>
    </row>
    <row r="14" customFormat="false" ht="18" hidden="false" customHeight="true" outlineLevel="0" collapsed="false">
      <c r="A14" s="13" t="s">
        <v>712</v>
      </c>
      <c r="B14" s="14" t="n">
        <v>3800000</v>
      </c>
      <c r="C14" s="14" t="n">
        <v>4600000</v>
      </c>
      <c r="D14" s="50" t="n">
        <f aca="false">C14-B14</f>
        <v>800000</v>
      </c>
      <c r="E14" s="37" t="n">
        <f aca="false">(C14-B14)/B14*100</f>
        <v>21.0526315789474</v>
      </c>
      <c r="F14" s="12" t="n">
        <v>58</v>
      </c>
      <c r="G14" s="12" t="n">
        <v>73</v>
      </c>
    </row>
    <row r="15" customFormat="false" ht="18" hidden="false" customHeight="true" outlineLevel="0" collapsed="false">
      <c r="A15" s="18" t="s">
        <v>713</v>
      </c>
      <c r="B15" s="19" t="n">
        <v>4200000</v>
      </c>
      <c r="C15" s="19" t="n">
        <v>5100000</v>
      </c>
      <c r="D15" s="51" t="n">
        <f aca="false">C15-B15</f>
        <v>900000</v>
      </c>
      <c r="E15" s="38" t="n">
        <f aca="false">(C15-B15)/B15*100</f>
        <v>21.4285714285714</v>
      </c>
      <c r="F15" s="17" t="n">
        <v>83</v>
      </c>
      <c r="G15" s="17" t="n">
        <v>70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1"/>
    <col collapsed="false" customWidth="true" hidden="false" outlineLevel="0" max="4" min="4" style="1" width="65"/>
    <col collapsed="false" customWidth="true" hidden="false" outlineLevel="0" max="12" min="5" style="1" width="11"/>
  </cols>
  <sheetData>
    <row r="1" customFormat="false" ht="45" hidden="false" customHeight="true" outlineLevel="0" collapsed="false">
      <c r="A1" s="52" t="s">
        <v>714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customFormat="false" ht="21.75" hidden="false" customHeight="true" outlineLevel="0" collapsed="false">
      <c r="A2" s="53" t="s">
        <v>715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</row>
    <row r="4" customFormat="false" ht="19.5" hidden="false" customHeight="true" outlineLevel="0" collapsed="false">
      <c r="A4" s="54" t="s">
        <v>716</v>
      </c>
      <c r="B4" s="54"/>
      <c r="C4" s="55" t="s">
        <v>717</v>
      </c>
      <c r="D4" s="55"/>
      <c r="E4" s="56" t="s">
        <v>718</v>
      </c>
      <c r="F4" s="56"/>
      <c r="G4" s="54" t="s">
        <v>719</v>
      </c>
      <c r="H4" s="54"/>
      <c r="I4" s="57" t="s">
        <v>720</v>
      </c>
      <c r="J4" s="57"/>
      <c r="K4" s="55" t="s">
        <v>600</v>
      </c>
      <c r="L4" s="55"/>
    </row>
    <row r="5" customFormat="false" ht="30" hidden="false" customHeight="true" outlineLevel="0" collapsed="false">
      <c r="A5" s="58" t="s">
        <v>721</v>
      </c>
      <c r="B5" s="58"/>
      <c r="C5" s="59" t="s">
        <v>722</v>
      </c>
      <c r="D5" s="59"/>
      <c r="E5" s="60" t="s">
        <v>723</v>
      </c>
      <c r="F5" s="60"/>
      <c r="G5" s="58" t="s">
        <v>724</v>
      </c>
      <c r="H5" s="58"/>
      <c r="I5" s="61" t="s">
        <v>725</v>
      </c>
      <c r="J5" s="61"/>
      <c r="K5" s="59" t="s">
        <v>726</v>
      </c>
      <c r="L5" s="59"/>
    </row>
    <row r="6" customFormat="false" ht="18" hidden="false" customHeight="true" outlineLevel="0" collapsed="false">
      <c r="A6" s="62" t="s">
        <v>727</v>
      </c>
      <c r="B6" s="62"/>
      <c r="C6" s="63"/>
      <c r="D6" s="63"/>
      <c r="E6" s="64" t="s">
        <v>728</v>
      </c>
      <c r="F6" s="64"/>
      <c r="G6" s="62" t="s">
        <v>729</v>
      </c>
      <c r="H6" s="62"/>
      <c r="I6" s="65" t="s">
        <v>730</v>
      </c>
      <c r="J6" s="65"/>
      <c r="K6" s="63" t="s">
        <v>727</v>
      </c>
      <c r="L6" s="63"/>
    </row>
    <row r="8" customFormat="false" ht="30" hidden="false" customHeight="true" outlineLevel="0" collapsed="false">
      <c r="A8" s="5" t="s">
        <v>731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customFormat="false" ht="31.5" hidden="false" customHeight="true" outlineLevel="0" collapsed="false">
      <c r="A9" s="66" t="s">
        <v>732</v>
      </c>
      <c r="B9" s="67" t="s">
        <v>733</v>
      </c>
      <c r="C9" s="67"/>
      <c r="D9" s="68" t="s">
        <v>734</v>
      </c>
      <c r="E9" s="68"/>
      <c r="F9" s="68"/>
      <c r="G9" s="68"/>
      <c r="H9" s="68"/>
      <c r="I9" s="68"/>
      <c r="J9" s="68"/>
      <c r="K9" s="68"/>
      <c r="L9" s="68"/>
    </row>
    <row r="10" customFormat="false" ht="31.5" hidden="false" customHeight="true" outlineLevel="0" collapsed="false">
      <c r="A10" s="69" t="s">
        <v>735</v>
      </c>
      <c r="B10" s="67" t="s">
        <v>736</v>
      </c>
      <c r="C10" s="67"/>
      <c r="D10" s="70" t="s">
        <v>737</v>
      </c>
      <c r="E10" s="70"/>
      <c r="F10" s="70"/>
      <c r="G10" s="70"/>
      <c r="H10" s="70"/>
      <c r="I10" s="70"/>
      <c r="J10" s="70"/>
      <c r="K10" s="70"/>
      <c r="L10" s="70"/>
    </row>
    <row r="11" customFormat="false" ht="31.5" hidden="false" customHeight="true" outlineLevel="0" collapsed="false">
      <c r="A11" s="66" t="s">
        <v>738</v>
      </c>
      <c r="B11" s="67" t="s">
        <v>739</v>
      </c>
      <c r="C11" s="67"/>
      <c r="D11" s="68" t="s">
        <v>740</v>
      </c>
      <c r="E11" s="68"/>
      <c r="F11" s="68"/>
      <c r="G11" s="68"/>
      <c r="H11" s="68"/>
      <c r="I11" s="68"/>
      <c r="J11" s="68"/>
      <c r="K11" s="68"/>
      <c r="L11" s="68"/>
    </row>
    <row r="12" customFormat="false" ht="31.5" hidden="false" customHeight="true" outlineLevel="0" collapsed="false">
      <c r="A12" s="69" t="s">
        <v>741</v>
      </c>
      <c r="B12" s="67" t="s">
        <v>742</v>
      </c>
      <c r="C12" s="67"/>
      <c r="D12" s="70" t="s">
        <v>743</v>
      </c>
      <c r="E12" s="70"/>
      <c r="F12" s="70"/>
      <c r="G12" s="70"/>
      <c r="H12" s="70"/>
      <c r="I12" s="70"/>
      <c r="J12" s="70"/>
      <c r="K12" s="70"/>
      <c r="L12" s="70"/>
    </row>
    <row r="13" customFormat="false" ht="31.5" hidden="false" customHeight="true" outlineLevel="0" collapsed="false">
      <c r="A13" s="66" t="s">
        <v>744</v>
      </c>
      <c r="B13" s="67" t="s">
        <v>745</v>
      </c>
      <c r="C13" s="67"/>
      <c r="D13" s="68" t="s">
        <v>746</v>
      </c>
      <c r="E13" s="68"/>
      <c r="F13" s="68"/>
      <c r="G13" s="68"/>
      <c r="H13" s="68"/>
      <c r="I13" s="68"/>
      <c r="J13" s="68"/>
      <c r="K13" s="68"/>
      <c r="L13" s="68"/>
    </row>
    <row r="14" customFormat="false" ht="31.5" hidden="false" customHeight="true" outlineLevel="0" collapsed="false">
      <c r="A14" s="69" t="s">
        <v>747</v>
      </c>
      <c r="B14" s="67" t="s">
        <v>748</v>
      </c>
      <c r="C14" s="67"/>
      <c r="D14" s="70" t="s">
        <v>749</v>
      </c>
      <c r="E14" s="70"/>
      <c r="F14" s="70"/>
      <c r="G14" s="70"/>
      <c r="H14" s="70"/>
      <c r="I14" s="70"/>
      <c r="J14" s="70"/>
      <c r="K14" s="70"/>
      <c r="L14" s="70"/>
    </row>
  </sheetData>
  <mergeCells count="33">
    <mergeCell ref="A1:L1"/>
    <mergeCell ref="A2:L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  <mergeCell ref="A8:L8"/>
    <mergeCell ref="B9:C9"/>
    <mergeCell ref="D9:L9"/>
    <mergeCell ref="B10:C10"/>
    <mergeCell ref="D10:L10"/>
    <mergeCell ref="B11:C11"/>
    <mergeCell ref="D11:L11"/>
    <mergeCell ref="B12:C12"/>
    <mergeCell ref="D12:L12"/>
    <mergeCell ref="B13:C13"/>
    <mergeCell ref="D13:L13"/>
    <mergeCell ref="B14:C14"/>
    <mergeCell ref="D14:L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2026-02-21T04:06:42Z</dcterms:created>
  <dc:creator>openpyxl</dc:creator>
  <dc:description/>
  <dc:language>en-US</dc:language>
  <cp:lastModifiedBy/>
  <dcterms:modified xsi:type="dcterms:W3CDTF">2026-02-21T04:07:02Z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